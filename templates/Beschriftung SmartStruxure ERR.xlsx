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GA\_Projekte\München RedBull\ERR\"/>
    </mc:Choice>
  </mc:AlternateContent>
  <xr:revisionPtr revIDLastSave="0" documentId="13_ncr:1_{E2DBBE0F-3012-40F5-88FD-4D2E2EC07619}" xr6:coauthVersionLast="36" xr6:coauthVersionMax="47" xr10:uidLastSave="{00000000-0000-0000-0000-000000000000}"/>
  <bookViews>
    <workbookView xWindow="-120" yWindow="-120" windowWidth="28920" windowHeight="10728" tabRatio="925" activeTab="1" xr2:uid="{00000000-000D-0000-FFFF-FFFF00000000}"/>
  </bookViews>
  <sheets>
    <sheet name="ASP-301-1" sheetId="22" r:id="rId1"/>
    <sheet name="ASP-301-1_DP" sheetId="23" r:id="rId2"/>
    <sheet name="ASP0303_DP (2)" sheetId="28" state="hidden" r:id="rId3"/>
  </sheets>
  <calcPr calcId="191029"/>
</workbook>
</file>

<file path=xl/calcChain.xml><?xml version="1.0" encoding="utf-8"?>
<calcChain xmlns="http://schemas.openxmlformats.org/spreadsheetml/2006/main">
  <c r="J189" i="22" l="1"/>
  <c r="J190" i="22"/>
  <c r="J191" i="22"/>
  <c r="J192" i="22"/>
  <c r="J193" i="22"/>
  <c r="J188" i="22"/>
  <c r="C189" i="22"/>
  <c r="C190" i="22"/>
  <c r="C191" i="22"/>
  <c r="C192" i="22"/>
  <c r="C193" i="22"/>
  <c r="C188" i="22"/>
  <c r="F187" i="22"/>
  <c r="J180" i="22"/>
  <c r="J181" i="22"/>
  <c r="J182" i="22"/>
  <c r="J183" i="22"/>
  <c r="J184" i="22"/>
  <c r="J179" i="22"/>
  <c r="C180" i="22"/>
  <c r="C181" i="22"/>
  <c r="C182" i="22"/>
  <c r="C183" i="22"/>
  <c r="C184" i="22"/>
  <c r="C179" i="22"/>
  <c r="F178" i="22"/>
  <c r="J169" i="22"/>
  <c r="J170" i="22"/>
  <c r="J171" i="22"/>
  <c r="J172" i="22"/>
  <c r="J173" i="22"/>
  <c r="J174" i="22"/>
  <c r="J175" i="22"/>
  <c r="J168" i="22"/>
  <c r="C169" i="22"/>
  <c r="C170" i="22"/>
  <c r="C171" i="22"/>
  <c r="C172" i="22"/>
  <c r="C173" i="22"/>
  <c r="C174" i="22"/>
  <c r="C175" i="22"/>
  <c r="C168" i="22"/>
  <c r="F167" i="22"/>
  <c r="M167" i="22" s="1"/>
  <c r="J158" i="22"/>
  <c r="J159" i="22"/>
  <c r="J160" i="22"/>
  <c r="J161" i="22"/>
  <c r="J162" i="22"/>
  <c r="J163" i="22"/>
  <c r="J164" i="22"/>
  <c r="J157" i="22"/>
  <c r="C158" i="22"/>
  <c r="C159" i="22"/>
  <c r="C160" i="22"/>
  <c r="C161" i="22"/>
  <c r="C162" i="22"/>
  <c r="C163" i="22"/>
  <c r="C164" i="22"/>
  <c r="C157" i="22"/>
  <c r="F156" i="22"/>
  <c r="M156" i="22" s="1"/>
  <c r="J151" i="22"/>
  <c r="J152" i="22"/>
  <c r="J153" i="22"/>
  <c r="J150" i="22"/>
  <c r="C151" i="22"/>
  <c r="C152" i="22"/>
  <c r="C153" i="22"/>
  <c r="C150" i="22"/>
  <c r="F149" i="22"/>
  <c r="M149" i="22" s="1"/>
  <c r="J144" i="22"/>
  <c r="J145" i="22"/>
  <c r="J146" i="22"/>
  <c r="J143" i="22"/>
  <c r="C144" i="22"/>
  <c r="C145" i="22"/>
  <c r="C146" i="22"/>
  <c r="C143" i="22"/>
  <c r="F142" i="22"/>
  <c r="J137" i="22"/>
  <c r="J138" i="22"/>
  <c r="J139" i="22"/>
  <c r="J136" i="22"/>
  <c r="C137" i="22"/>
  <c r="C138" i="22"/>
  <c r="C139" i="22"/>
  <c r="C136" i="22"/>
  <c r="F135" i="22"/>
  <c r="M135" i="22" s="1"/>
  <c r="J130" i="22"/>
  <c r="J131" i="22"/>
  <c r="J132" i="22"/>
  <c r="J129" i="22"/>
  <c r="C130" i="22"/>
  <c r="C131" i="22"/>
  <c r="C132" i="22"/>
  <c r="C129" i="22"/>
  <c r="F128" i="22"/>
  <c r="M128" i="22" s="1"/>
  <c r="J123" i="22"/>
  <c r="J124" i="22"/>
  <c r="J125" i="22"/>
  <c r="J122" i="22"/>
  <c r="C123" i="22"/>
  <c r="C124" i="22"/>
  <c r="C125" i="22"/>
  <c r="C122" i="22"/>
  <c r="F121" i="22"/>
  <c r="M121" i="22" s="1"/>
  <c r="J116" i="22"/>
  <c r="J117" i="22"/>
  <c r="J118" i="22"/>
  <c r="J115" i="22"/>
  <c r="C116" i="22"/>
  <c r="C117" i="22"/>
  <c r="C118" i="22"/>
  <c r="C115" i="22"/>
  <c r="F114" i="22"/>
  <c r="M114" i="22" s="1"/>
  <c r="J109" i="22"/>
  <c r="J110" i="22"/>
  <c r="J111" i="22"/>
  <c r="J108" i="22"/>
  <c r="C109" i="22"/>
  <c r="C110" i="22"/>
  <c r="C111" i="22"/>
  <c r="C108" i="22"/>
  <c r="F107" i="22"/>
  <c r="M107" i="22" s="1"/>
  <c r="J104" i="22"/>
  <c r="J102" i="22"/>
  <c r="J103" i="22"/>
  <c r="J101" i="22"/>
  <c r="C102" i="22"/>
  <c r="C103" i="22"/>
  <c r="C104" i="22"/>
  <c r="C101" i="22"/>
  <c r="F100" i="22"/>
  <c r="M100" i="22" s="1"/>
  <c r="J95" i="22"/>
  <c r="J96" i="22"/>
  <c r="J97" i="22"/>
  <c r="J94" i="22"/>
  <c r="C95" i="22"/>
  <c r="C96" i="22"/>
  <c r="C97" i="22"/>
  <c r="C94" i="22"/>
  <c r="F93" i="22"/>
  <c r="M93" i="22" s="1"/>
  <c r="M142" i="22"/>
  <c r="J84" i="22"/>
  <c r="J85" i="22"/>
  <c r="J86" i="22"/>
  <c r="J87" i="22"/>
  <c r="J88" i="22"/>
  <c r="J89" i="22"/>
  <c r="J90" i="22"/>
  <c r="J83" i="22"/>
  <c r="C84" i="22"/>
  <c r="C85" i="22"/>
  <c r="C86" i="22"/>
  <c r="C87" i="22"/>
  <c r="C88" i="22"/>
  <c r="C89" i="22"/>
  <c r="C90" i="22"/>
  <c r="C83" i="22"/>
  <c r="F82" i="22"/>
  <c r="M82" i="22" s="1"/>
  <c r="J73" i="22"/>
  <c r="J74" i="22"/>
  <c r="J75" i="22"/>
  <c r="J76" i="22"/>
  <c r="J77" i="22"/>
  <c r="J78" i="22"/>
  <c r="J79" i="22"/>
  <c r="J72" i="22"/>
  <c r="C73" i="22"/>
  <c r="C74" i="22"/>
  <c r="C75" i="22"/>
  <c r="C76" i="22"/>
  <c r="C77" i="22"/>
  <c r="C78" i="22"/>
  <c r="C79" i="22"/>
  <c r="C72" i="22"/>
  <c r="F71" i="22"/>
  <c r="M71" i="22" s="1"/>
  <c r="J62" i="22"/>
  <c r="J63" i="22"/>
  <c r="J64" i="22"/>
  <c r="J65" i="22"/>
  <c r="J66" i="22"/>
  <c r="J67" i="22"/>
  <c r="J68" i="22"/>
  <c r="J61" i="22"/>
  <c r="C62" i="22"/>
  <c r="C63" i="22"/>
  <c r="C64" i="22"/>
  <c r="C65" i="22"/>
  <c r="C66" i="22"/>
  <c r="C67" i="22"/>
  <c r="C68" i="22"/>
  <c r="C61" i="22"/>
  <c r="F60" i="22"/>
  <c r="M60" i="22" s="1"/>
  <c r="J51" i="22"/>
  <c r="J52" i="22"/>
  <c r="J53" i="22"/>
  <c r="J54" i="22"/>
  <c r="J55" i="22"/>
  <c r="J56" i="22"/>
  <c r="J57" i="22"/>
  <c r="J50" i="22"/>
  <c r="C51" i="22"/>
  <c r="C52" i="22"/>
  <c r="C53" i="22"/>
  <c r="C54" i="22"/>
  <c r="C55" i="22"/>
  <c r="C56" i="22"/>
  <c r="C57" i="22"/>
  <c r="C50" i="22"/>
  <c r="F49" i="22"/>
  <c r="M49" i="22" s="1"/>
  <c r="J40" i="22"/>
  <c r="J41" i="22"/>
  <c r="J42" i="22"/>
  <c r="J43" i="22"/>
  <c r="J44" i="22"/>
  <c r="J45" i="22"/>
  <c r="J46" i="22"/>
  <c r="J39" i="22"/>
  <c r="C40" i="22"/>
  <c r="C41" i="22"/>
  <c r="C42" i="22"/>
  <c r="C43" i="22"/>
  <c r="C44" i="22"/>
  <c r="C45" i="22"/>
  <c r="C46" i="22"/>
  <c r="C39" i="22"/>
  <c r="F38" i="22"/>
  <c r="M38" i="22" s="1"/>
  <c r="J29" i="22"/>
  <c r="J30" i="22"/>
  <c r="J31" i="22"/>
  <c r="J32" i="22"/>
  <c r="J33" i="22"/>
  <c r="J34" i="22"/>
  <c r="J35" i="22"/>
  <c r="J28" i="22"/>
  <c r="C29" i="22"/>
  <c r="C30" i="22"/>
  <c r="C31" i="22"/>
  <c r="C32" i="22"/>
  <c r="C33" i="22"/>
  <c r="C34" i="22"/>
  <c r="C35" i="22"/>
  <c r="C28" i="22"/>
  <c r="F27" i="22"/>
  <c r="M27" i="22" s="1"/>
  <c r="J289" i="22" l="1"/>
  <c r="J290" i="22"/>
  <c r="J291" i="22"/>
  <c r="J292" i="22"/>
  <c r="J293" i="22"/>
  <c r="J294" i="22"/>
  <c r="J295" i="22"/>
  <c r="J288" i="22"/>
  <c r="C289" i="22"/>
  <c r="C290" i="22"/>
  <c r="C291" i="22"/>
  <c r="C292" i="22"/>
  <c r="C293" i="22"/>
  <c r="C294" i="22"/>
  <c r="C295" i="22"/>
  <c r="C288" i="22"/>
  <c r="F287" i="22"/>
  <c r="M287" i="22" s="1"/>
  <c r="J278" i="22"/>
  <c r="J279" i="22"/>
  <c r="J280" i="22"/>
  <c r="J281" i="22"/>
  <c r="J282" i="22"/>
  <c r="J283" i="22"/>
  <c r="J284" i="22"/>
  <c r="J277" i="22"/>
  <c r="C278" i="22"/>
  <c r="C279" i="22"/>
  <c r="C280" i="22"/>
  <c r="C281" i="22"/>
  <c r="C282" i="22"/>
  <c r="C283" i="22"/>
  <c r="C284" i="22"/>
  <c r="C277" i="22"/>
  <c r="F276" i="22"/>
  <c r="J267" i="22"/>
  <c r="J268" i="22"/>
  <c r="J269" i="22"/>
  <c r="J270" i="22"/>
  <c r="J271" i="22"/>
  <c r="J272" i="22"/>
  <c r="J273" i="22"/>
  <c r="J266" i="22"/>
  <c r="C267" i="22"/>
  <c r="C268" i="22"/>
  <c r="C269" i="22"/>
  <c r="C270" i="22"/>
  <c r="C271" i="22"/>
  <c r="C272" i="22"/>
  <c r="C273" i="22"/>
  <c r="C266" i="22"/>
  <c r="F265" i="22"/>
  <c r="J256" i="22"/>
  <c r="J257" i="22"/>
  <c r="J258" i="22"/>
  <c r="J259" i="22"/>
  <c r="J260" i="22"/>
  <c r="J261" i="22"/>
  <c r="J262" i="22"/>
  <c r="J255" i="22"/>
  <c r="C256" i="22"/>
  <c r="C257" i="22"/>
  <c r="C258" i="22"/>
  <c r="C259" i="22"/>
  <c r="C260" i="22"/>
  <c r="C261" i="22"/>
  <c r="C262" i="22"/>
  <c r="C255" i="22"/>
  <c r="F254" i="22"/>
  <c r="J245" i="22"/>
  <c r="J246" i="22"/>
  <c r="J247" i="22"/>
  <c r="J248" i="22"/>
  <c r="J249" i="22"/>
  <c r="J250" i="22"/>
  <c r="J251" i="22"/>
  <c r="J244" i="22"/>
  <c r="C245" i="22"/>
  <c r="C246" i="22"/>
  <c r="C247" i="22"/>
  <c r="C248" i="22"/>
  <c r="C249" i="22"/>
  <c r="C250" i="22"/>
  <c r="C251" i="22"/>
  <c r="C244" i="22"/>
  <c r="F243" i="22"/>
  <c r="J234" i="22"/>
  <c r="J235" i="22"/>
  <c r="J236" i="22"/>
  <c r="J237" i="22"/>
  <c r="J238" i="22"/>
  <c r="J239" i="22"/>
  <c r="J240" i="22"/>
  <c r="J233" i="22"/>
  <c r="C234" i="22"/>
  <c r="C235" i="22"/>
  <c r="C236" i="22"/>
  <c r="C237" i="22"/>
  <c r="C238" i="22"/>
  <c r="C239" i="22"/>
  <c r="C240" i="22"/>
  <c r="C233" i="22"/>
  <c r="F232" i="22"/>
  <c r="J223" i="22"/>
  <c r="J224" i="22"/>
  <c r="J225" i="22"/>
  <c r="J226" i="22"/>
  <c r="J227" i="22"/>
  <c r="J228" i="22"/>
  <c r="J229" i="22"/>
  <c r="J222" i="22"/>
  <c r="C229" i="22"/>
  <c r="C223" i="22"/>
  <c r="C224" i="22"/>
  <c r="C225" i="22"/>
  <c r="C226" i="22"/>
  <c r="C227" i="22"/>
  <c r="C228" i="22"/>
  <c r="C222" i="22"/>
  <c r="F221" i="22"/>
  <c r="J212" i="22"/>
  <c r="J213" i="22"/>
  <c r="J214" i="22"/>
  <c r="J215" i="22"/>
  <c r="J216" i="22"/>
  <c r="J217" i="22"/>
  <c r="J218" i="22"/>
  <c r="J211" i="22"/>
  <c r="C212" i="22"/>
  <c r="C213" i="22"/>
  <c r="C214" i="22"/>
  <c r="C215" i="22"/>
  <c r="C216" i="22"/>
  <c r="C217" i="22"/>
  <c r="C218" i="22"/>
  <c r="C211" i="22"/>
  <c r="F210" i="22"/>
  <c r="J205" i="22"/>
  <c r="J206" i="22"/>
  <c r="J207" i="22"/>
  <c r="J204" i="22"/>
  <c r="C205" i="22"/>
  <c r="C206" i="22"/>
  <c r="C207" i="22"/>
  <c r="C204" i="22"/>
  <c r="F203" i="22"/>
  <c r="M203" i="22" s="1"/>
  <c r="J198" i="22"/>
  <c r="J199" i="22"/>
  <c r="J200" i="22"/>
  <c r="J197" i="22"/>
  <c r="C198" i="22"/>
  <c r="C199" i="22"/>
  <c r="C200" i="22"/>
  <c r="C197" i="22"/>
  <c r="F196" i="22"/>
  <c r="M196" i="22" s="1"/>
  <c r="M187" i="22"/>
  <c r="M178" i="22"/>
  <c r="M276" i="22" l="1"/>
  <c r="M265" i="22"/>
  <c r="M254" i="22"/>
  <c r="M243" i="22" l="1"/>
  <c r="M232" i="22"/>
  <c r="M221" i="22" l="1"/>
  <c r="M210" i="22"/>
</calcChain>
</file>

<file path=xl/sharedStrings.xml><?xml version="1.0" encoding="utf-8"?>
<sst xmlns="http://schemas.openxmlformats.org/spreadsheetml/2006/main" count="5529" uniqueCount="1818">
  <si>
    <t>Modul 1</t>
  </si>
  <si>
    <t>Modul 2</t>
  </si>
  <si>
    <t>Spannungsversorgung</t>
  </si>
  <si>
    <t>AutomationServer</t>
  </si>
  <si>
    <t>PS AS</t>
  </si>
  <si>
    <t>0 ohm</t>
  </si>
  <si>
    <t>0,00 °C</t>
  </si>
  <si>
    <t>0,00 Δ°C</t>
  </si>
  <si>
    <t>0,00 V</t>
  </si>
  <si>
    <t>10,00 V</t>
  </si>
  <si>
    <t>In1</t>
  </si>
  <si>
    <t>In2</t>
  </si>
  <si>
    <t>In3</t>
  </si>
  <si>
    <t>Grün</t>
  </si>
  <si>
    <t>In4</t>
  </si>
  <si>
    <t>In5</t>
  </si>
  <si>
    <t>In6</t>
  </si>
  <si>
    <t>Temperatureingang</t>
  </si>
  <si>
    <t>In7</t>
  </si>
  <si>
    <t>In8</t>
  </si>
  <si>
    <t>In9</t>
  </si>
  <si>
    <t>In10</t>
  </si>
  <si>
    <t>In11</t>
  </si>
  <si>
    <t>In12</t>
  </si>
  <si>
    <t>In13</t>
  </si>
  <si>
    <t>In14</t>
  </si>
  <si>
    <t>In15</t>
  </si>
  <si>
    <t>In16</t>
  </si>
  <si>
    <t>Spannungsausgang</t>
  </si>
  <si>
    <t>Out1</t>
  </si>
  <si>
    <t>Out2</t>
  </si>
  <si>
    <t>Out3</t>
  </si>
  <si>
    <t>Out4</t>
  </si>
  <si>
    <t>Out5</t>
  </si>
  <si>
    <t>Leerer Ausgang</t>
  </si>
  <si>
    <t>Out6</t>
  </si>
  <si>
    <t>Out7</t>
  </si>
  <si>
    <t>Out8</t>
  </si>
  <si>
    <t>Digitaleingang</t>
  </si>
  <si>
    <t>Leerer Eingang</t>
  </si>
  <si>
    <t>Digitalausgang</t>
  </si>
  <si>
    <t>Out9</t>
  </si>
  <si>
    <t>Out10</t>
  </si>
  <si>
    <t>Out11</t>
  </si>
  <si>
    <t>Out12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</si>
  <si>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</si>
  <si>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</si>
  <si>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</si>
  <si>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</si>
  <si>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</si>
  <si>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</si>
  <si>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</si>
  <si>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</si>
  <si>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</si>
  <si>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</si>
  <si>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</si>
  <si>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</si>
  <si>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</si>
  <si>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</si>
  <si>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</si>
  <si>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</si>
  <si>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Keine</t>
  </si>
  <si>
    <t>Aus</t>
  </si>
  <si>
    <t>DI-16</t>
  </si>
  <si>
    <t>DO-FA-12</t>
  </si>
  <si>
    <t>User: admin</t>
  </si>
  <si>
    <t>UI-8.AO-V-4</t>
  </si>
  <si>
    <t>1.8k (Xenta)</t>
  </si>
  <si>
    <t>Rot</t>
  </si>
  <si>
    <t>Ein</t>
  </si>
  <si>
    <t>M3 253K2</t>
  </si>
  <si>
    <t>M3 253K2 - DO-FA-12</t>
  </si>
  <si>
    <t>ELT303.ASV010_QUT_SB</t>
  </si>
  <si>
    <t>ASP0303s_Entsperren_SB</t>
  </si>
  <si>
    <t>=ASP0303s&amp;EFS+F3/ASP0303s/205.4</t>
  </si>
  <si>
    <t>ELT303.ASV010_QUT_SBSSM_LED_SB</t>
  </si>
  <si>
    <t>ASP0303s_SSM_LED_SB</t>
  </si>
  <si>
    <t>=ASP0303s&amp;EFS+F3/ASP0303s/205.7</t>
  </si>
  <si>
    <t>BMA001.BMZ021_SB</t>
  </si>
  <si>
    <t>ASP0303s_BMA_FUB021_SB</t>
  </si>
  <si>
    <t>=ASP0303s&amp;EFS+F3/ASP0303s/202.1</t>
  </si>
  <si>
    <t>BMA001.BMZ034_SB</t>
  </si>
  <si>
    <t>ASP0303s_BMA_FUB034_SB</t>
  </si>
  <si>
    <t>=ASP0303s&amp;EFS+F3/ASP0303s/202.2</t>
  </si>
  <si>
    <t>BMA001.BMZ035_SB</t>
  </si>
  <si>
    <t>ASP0303s_BMA_FUB035_SB</t>
  </si>
  <si>
    <t>=ASP0303s&amp;EFS+F3/ASP0303s/202.4</t>
  </si>
  <si>
    <t>BMA001.BMZ046_SB</t>
  </si>
  <si>
    <t>ASP0303s_BMA_FUB046_SB</t>
  </si>
  <si>
    <t>=ASP0303s&amp;EFS+F3/ASP0303s/202.5</t>
  </si>
  <si>
    <t>BMA001.BMZ047_SB</t>
  </si>
  <si>
    <t>ASP0303s_BMA_FUB047_SB</t>
  </si>
  <si>
    <t>=ASP0303s&amp;EFS+F3/ASP0303s/202.6</t>
  </si>
  <si>
    <t>RLT007.BFS001_AUTO_SB</t>
  </si>
  <si>
    <t>ASP0303s_RLT007_AUTO_SB</t>
  </si>
  <si>
    <t>=ASP0303s&amp;EFS+F3/ASP0303s/203.1</t>
  </si>
  <si>
    <t>RLT007.BFS001_AUS_SB</t>
  </si>
  <si>
    <t>ASP0303s_RLT007_AUS_SB</t>
  </si>
  <si>
    <t>=ASP0303s&amp;EFS+F3/ASP0303s/203.2</t>
  </si>
  <si>
    <t>RLT007.BFS001_EIN_SB</t>
  </si>
  <si>
    <t>ASP0303s_RLT007_EIN_SB</t>
  </si>
  <si>
    <t>=ASP0303s&amp;EFS+F3/ASP0303s/203.3</t>
  </si>
  <si>
    <t>RLT015.BFS001_AUTO_SB</t>
  </si>
  <si>
    <t>ASP0303s_RLT015_AUTO_SB</t>
  </si>
  <si>
    <t>RBA01.E03.A.319.F=ASP0303s.RLT015.BFS001</t>
  </si>
  <si>
    <t>RLT015.BFS001_AUS_SB</t>
  </si>
  <si>
    <t>ASP0303s_RLT015_AUS_SB</t>
  </si>
  <si>
    <t>M4 253K3</t>
  </si>
  <si>
    <t>M4 253K3 - DO-FA-12</t>
  </si>
  <si>
    <t>RLT015.BFS001_EIN_SB</t>
  </si>
  <si>
    <t>ASP0303s_RLT015_EIN_SB</t>
  </si>
  <si>
    <t>RLT017.BFS001_AUTO_SB</t>
  </si>
  <si>
    <t>ASP0303s_RLT017_AUTO_SB</t>
  </si>
  <si>
    <t>RBA01.E03.A.319.F=ASP0303s.RLT017.BFS001</t>
  </si>
  <si>
    <t>RLT017.BFS001_AUS_SB</t>
  </si>
  <si>
    <t>ASP0303s_RLT017_AUS_SB</t>
  </si>
  <si>
    <t>RLT017.BFS001_EIN_SB</t>
  </si>
  <si>
    <t>ASP0303s_RLT017_EIN_SB</t>
  </si>
  <si>
    <t>RLT007.ZUV001_SB</t>
  </si>
  <si>
    <t>RLT007 - Schaltbefehl Zuluftventilator</t>
  </si>
  <si>
    <t>ASP-303.RLT17.ZUV001_SB</t>
  </si>
  <si>
    <t xml:space="preserve">RBA01.E03.A.319.F=ASP0303s.RLT007.ZUV001  </t>
  </si>
  <si>
    <t>geprüft Michael/Kai 29.07.24</t>
  </si>
  <si>
    <t>RLT007.ABV101_SB</t>
  </si>
  <si>
    <t>RLT007 - Schaltbefehl Abluftventilator</t>
  </si>
  <si>
    <t>ASP-303.RLT17.ABV101_SB</t>
  </si>
  <si>
    <t xml:space="preserve">RBA01.E03.A.319.F=ASP0303s.RLT007.ABV101  </t>
  </si>
  <si>
    <t>RLT007.PPE001_SB</t>
  </si>
  <si>
    <t>ASP-303.RLT22A.PPE001_SB</t>
  </si>
  <si>
    <t xml:space="preserve">RBA01.E03.A.319.F=ASP0303s.RLT007.KVS001  </t>
  </si>
  <si>
    <t>RLT007.LKL001_SB</t>
  </si>
  <si>
    <t>ASP-303.RLT22A.LKL001_SB</t>
  </si>
  <si>
    <t xml:space="preserve">RBA01.E03.A.319.F=ASP0303s.RLT007.LKL001  </t>
  </si>
  <si>
    <t>RLT007.LKL101_SB</t>
  </si>
  <si>
    <t>ASP-303.RLT22A.LKL002_SB</t>
  </si>
  <si>
    <t xml:space="preserve">RBA01.E03.A.319.F=ASP0303s.RLT007.LKL101  </t>
  </si>
  <si>
    <t>RLT015.ZUV001_SB</t>
  </si>
  <si>
    <t>RLT015 - Schaltbefehl Zuluftventilator</t>
  </si>
  <si>
    <t>RLT015_ZUL_FAN_SB</t>
  </si>
  <si>
    <t>RBA01.E03.A.319.F=ASP0303s.RLT015.ZUV001</t>
  </si>
  <si>
    <t>RLT015.ABV101_SB</t>
  </si>
  <si>
    <t>RLT015 - Schaltbefehl Abluftventilator</t>
  </si>
  <si>
    <t>RLT015_ABL_FAN_SB</t>
  </si>
  <si>
    <t>RBA01.E03.A.319.F=ASP0303s.RLT015.ABV101</t>
  </si>
  <si>
    <t>RLT015.LKL102_SB</t>
  </si>
  <si>
    <t>RLT015_ABL_KLP_SB</t>
  </si>
  <si>
    <t>RBA01.E03.A.319.F=ASP0303s.RLT015.LKL102</t>
  </si>
  <si>
    <t>DO-FC-8</t>
  </si>
  <si>
    <t>M5 253K4</t>
  </si>
  <si>
    <t>M5 253K4 - DO-FC-8</t>
  </si>
  <si>
    <t>RLT015.LKL001_SB</t>
  </si>
  <si>
    <t>RLT015_AUL_KLP_SB</t>
  </si>
  <si>
    <t>RBA01.E03.A.319.F=ASP0303s.RLT015.LKL001</t>
  </si>
  <si>
    <t>RLT015.LKL101_SB</t>
  </si>
  <si>
    <t>RLT015_FOL_KLP_SB</t>
  </si>
  <si>
    <t>RBA01.E03.A.319.F=ASP0303s.RLT015.LKL101</t>
  </si>
  <si>
    <t>M5 253K4_Leer Output_3?</t>
  </si>
  <si>
    <t>M5 253K4_Leer Output_4?</t>
  </si>
  <si>
    <t>M5 253K4_Leer Output_5?</t>
  </si>
  <si>
    <t>M5 253K4_Leer Output_6?</t>
  </si>
  <si>
    <t>M5 253K4_Leer Output_7?</t>
  </si>
  <si>
    <t>M5 253K4_Leer Output_8?</t>
  </si>
  <si>
    <t>AO-V-8</t>
  </si>
  <si>
    <t>M6 253K5</t>
  </si>
  <si>
    <t>M6 253K5 - AO-V-8</t>
  </si>
  <si>
    <t>RLT007.ZUV001_YB</t>
  </si>
  <si>
    <t>RLT007 - Stellsignal Zuluftventilator</t>
  </si>
  <si>
    <t>RLT007_ZUL_FAN_YB</t>
  </si>
  <si>
    <t>RLT007.ABV101_YB</t>
  </si>
  <si>
    <t>RLT007 - Stellsignal Abluftventilator</t>
  </si>
  <si>
    <t>RLT007_ABL_FAN_YB</t>
  </si>
  <si>
    <t>RLT007.PPE001_YB</t>
  </si>
  <si>
    <t>RLT007 - Stellsignal Pumpe WRG KSV</t>
  </si>
  <si>
    <t>RLT007_PUM_YB</t>
  </si>
  <si>
    <t xml:space="preserve">RBA01.E03.A.319.F=ASP0303s.RLT007.KVS001    </t>
  </si>
  <si>
    <t>RLT007.LKL004_YB</t>
  </si>
  <si>
    <t>RLT007_WRG_KLP_YB</t>
  </si>
  <si>
    <t xml:space="preserve">RBA01.E03.A.319.F=ASP0303s.RLT007.LKL004  </t>
  </si>
  <si>
    <t>RLT007.LKL003_YB</t>
  </si>
  <si>
    <t>RLT007_BYP_KLP_YB</t>
  </si>
  <si>
    <t>RBA01.E03.A.319.F=ASP0303s.RLT007.LKL003</t>
  </si>
  <si>
    <t>RLT007.LKL102_YB</t>
  </si>
  <si>
    <t>RLT007 - Stellsignal Umluftklappe</t>
  </si>
  <si>
    <t>RLT007_UML_KLP_YB</t>
  </si>
  <si>
    <t>2,00 V</t>
  </si>
  <si>
    <t>RLT007.VEN001_YB</t>
  </si>
  <si>
    <t>RLT007_HZG_VEN_YB</t>
  </si>
  <si>
    <t>RBA01.E03.A.319.F=ASP0303s.RLT007.VEN001</t>
  </si>
  <si>
    <t>RLT007.VEN002_YB</t>
  </si>
  <si>
    <t>RLT007_KLT_VEN_YB</t>
  </si>
  <si>
    <t>RBA01.E03.A.319.F=ASP0303s.RLT007.VEN002</t>
  </si>
  <si>
    <t>M7 253K6</t>
  </si>
  <si>
    <t>M7 253K6 - AO-V-8</t>
  </si>
  <si>
    <t>RLT007.VEN101_YB</t>
  </si>
  <si>
    <t>RLT007 - Stellsignal WRG Ventil KVS</t>
  </si>
  <si>
    <t>RLT007_KVS_VEN_YB</t>
  </si>
  <si>
    <t>RBA01.E03.A.319.F=ASP0303s.RLT007.VEN101</t>
  </si>
  <si>
    <t>RLT015.ZUV001_YB</t>
  </si>
  <si>
    <t>RLT015 - Stellsignal Zuluftventilator</t>
  </si>
  <si>
    <t>RLT015_ZUL_FAN_YB</t>
  </si>
  <si>
    <t>RLT015.ABV101_YB</t>
  </si>
  <si>
    <t>RLT015 - Stellsignal Abluftventilator</t>
  </si>
  <si>
    <t>RLT015_ABL_FAN_YB</t>
  </si>
  <si>
    <t>RLT015.LKL004_YB</t>
  </si>
  <si>
    <t>RLT015 - Stellsignal WRG KLappe 1</t>
  </si>
  <si>
    <t>RLT015_WRG_KLP1_YB</t>
  </si>
  <si>
    <t>RBA01.E03.A.319.F=ASP0303s.RLT015.LKL004</t>
  </si>
  <si>
    <t>RLT015.LKL005_YB</t>
  </si>
  <si>
    <t>RLT015 - Stellsignal WRG KLappe 2</t>
  </si>
  <si>
    <t>RLT015_WRG_KLP2_YB</t>
  </si>
  <si>
    <t>RBA01.E03.A.319.F=ASP0303s.RLT015.LKL005</t>
  </si>
  <si>
    <t>RLT015.LKL002_YB</t>
  </si>
  <si>
    <t>RLT015_BYP_KLP1_YB</t>
  </si>
  <si>
    <t>RBA01.E03.A.319.F=ASP0303s.RLT015.LKL002</t>
  </si>
  <si>
    <t>RLT015.LKL003_YB</t>
  </si>
  <si>
    <t>RLT015_BYP_KLP2_YB</t>
  </si>
  <si>
    <t>RBA01.E03.A.319.F=ASP0303s.RLT015.LKL003</t>
  </si>
  <si>
    <t>RLT015.VEN001_YB</t>
  </si>
  <si>
    <t>RLT015_HZG_VEN_YB</t>
  </si>
  <si>
    <t>RBA01.E03.A.319.F=ASP0303s.RLT015.VEN001</t>
  </si>
  <si>
    <t>M8 253K7</t>
  </si>
  <si>
    <t>M8 253K7 - UI-8.AO-V-4</t>
  </si>
  <si>
    <t>Stromeingang</t>
  </si>
  <si>
    <t>RLT007.ZUV001_MW</t>
  </si>
  <si>
    <t>RLT007 - Istwert Zuluftventilator</t>
  </si>
  <si>
    <t>RLT007_ZUL_FAN_MW</t>
  </si>
  <si>
    <t>4,00 mA</t>
  </si>
  <si>
    <t>20,00 mA</t>
  </si>
  <si>
    <t>0,00 Hz</t>
  </si>
  <si>
    <t>100,00 Hz</t>
  </si>
  <si>
    <t>0,92 Hz</t>
  </si>
  <si>
    <t>RLT007.ABV101_MW</t>
  </si>
  <si>
    <t>RLT007 - Istwert Abluftventilator</t>
  </si>
  <si>
    <t>RLT007_ABL_FAN_MW</t>
  </si>
  <si>
    <t>-0,08 Hz</t>
  </si>
  <si>
    <t>Spannungseingang</t>
  </si>
  <si>
    <t>RLT007.LKL004_MW</t>
  </si>
  <si>
    <t>RLT007_WRG_KLP_MW</t>
  </si>
  <si>
    <t>RLT007.LKL003_MW</t>
  </si>
  <si>
    <t>RLT007_BYP_KLP_MW</t>
  </si>
  <si>
    <t>RLT007.LKL102_MW</t>
  </si>
  <si>
    <t>RLT007_UML_KLP_MW</t>
  </si>
  <si>
    <t>RLT007.VEN001_MW</t>
  </si>
  <si>
    <t>RLT007_HZG_VEN_MW</t>
  </si>
  <si>
    <t>RLT007.VEN002_MW</t>
  </si>
  <si>
    <t>RLT007_VEN_KLT_MW</t>
  </si>
  <si>
    <t>RLT007.VEN101_MW</t>
  </si>
  <si>
    <t>RLT007_VEN_KLT_MW_2</t>
  </si>
  <si>
    <t>RLT015.VEN002_YB</t>
  </si>
  <si>
    <t>RLT015_KLT_VEN_YB</t>
  </si>
  <si>
    <t>RBA01.E03.A.319.F=ASP0303s.RLT015.VEN002</t>
  </si>
  <si>
    <t>M8 253K7_Leer Output_2?</t>
  </si>
  <si>
    <t>M8 253K7_Leer Output_3?</t>
  </si>
  <si>
    <t>M8 253K7_Leer Output_4?</t>
  </si>
  <si>
    <t>M9 253K8</t>
  </si>
  <si>
    <t>M9 253K8 - DI-16</t>
  </si>
  <si>
    <t>ASP0303s.Überspannungsschutz_SM</t>
  </si>
  <si>
    <t>ASP0303s_Überspannungsschutz_SM</t>
  </si>
  <si>
    <t>ASP0303s.24VDC_SM</t>
  </si>
  <si>
    <t>ASP0303s_24VDC_SM</t>
  </si>
  <si>
    <t>ASP0303s.Phasenüberwachung_SM</t>
  </si>
  <si>
    <t>ASP0303s_Phasenüberwachung_SM</t>
  </si>
  <si>
    <t>ASP0303s.Entsperren_BM</t>
  </si>
  <si>
    <t>ASP0303s_Entsperren_BM</t>
  </si>
  <si>
    <t>ASP0303s.LECKAGE_SM</t>
  </si>
  <si>
    <t>ASP0303s_LECKAGE_SM</t>
  </si>
  <si>
    <t>RLT007.ZUV001_BM</t>
  </si>
  <si>
    <t>RLT007_ZUL_FAN_BM</t>
  </si>
  <si>
    <t>RLT007.ZUV001_SM</t>
  </si>
  <si>
    <t>RLT007 - Störung Zuluftventilator</t>
  </si>
  <si>
    <t>RLT007_ZUL_FAN_SM</t>
  </si>
  <si>
    <t>RLT007.ABV101_BM</t>
  </si>
  <si>
    <t>RLT007_ABL_FAN_BM</t>
  </si>
  <si>
    <t>RLT007.ABV101_SM</t>
  </si>
  <si>
    <t>RLT007 - Störung Abluftventilator</t>
  </si>
  <si>
    <t>RLT007_ABL_FAN_SM</t>
  </si>
  <si>
    <t>RLT007.PPE001_BM</t>
  </si>
  <si>
    <t>RLT007 - Betrieb Pumpe WRG KSV</t>
  </si>
  <si>
    <t>RLT007_PUM_BM</t>
  </si>
  <si>
    <t>RLT007.PPE001_SM</t>
  </si>
  <si>
    <t>RLT007 - Störung Pumpe WRG KSV</t>
  </si>
  <si>
    <t>RLT007_PUM_SM</t>
  </si>
  <si>
    <t>RLT007.LKL001_RMZ</t>
  </si>
  <si>
    <t>RLT007_AUL_KLP_ZU_BM</t>
  </si>
  <si>
    <t>RLT007.LKL001_RMA</t>
  </si>
  <si>
    <t>RLT007_AUL_KLP_AUF_BM</t>
  </si>
  <si>
    <t>RLT007.LKL101_RMZ</t>
  </si>
  <si>
    <t>RLT007_FOL_KLP_ZU_BM</t>
  </si>
  <si>
    <t>RLT007.LKL101_RMA</t>
  </si>
  <si>
    <t>RLT007_FOL_KLP_AUF_BM</t>
  </si>
  <si>
    <t>RLT007.REP001_WM</t>
  </si>
  <si>
    <t>RLT007_ZUL_REP_WM</t>
  </si>
  <si>
    <t xml:space="preserve">RBA01.E03.A.319.F=ASP0303s.RLT007.REP001  </t>
  </si>
  <si>
    <t>M10 253K9</t>
  </si>
  <si>
    <t>M10 253K9 - DI-16</t>
  </si>
  <si>
    <t>RLT007.REP101_WM</t>
  </si>
  <si>
    <t>RLT007_ABL_REP_WM</t>
  </si>
  <si>
    <t xml:space="preserve">RBA01.E03.A.319.F=ASP0303s.RLT007.REP101  </t>
  </si>
  <si>
    <t>RLT007.DRW001_WM</t>
  </si>
  <si>
    <t>RLT007_FIL_AUL_DIFF_DRUCK_WM</t>
  </si>
  <si>
    <t xml:space="preserve">RBA01.E03.A.319.F=ASP0303s.RLT007.DRW001  </t>
  </si>
  <si>
    <t>RLT007.DRW003_WM</t>
  </si>
  <si>
    <t>RLT007_FIL_ZUL_DIFF_DRUCK_WM</t>
  </si>
  <si>
    <t xml:space="preserve">RBA01.E03.A.319.F=ASP0303s.RLT007.DRW003  </t>
  </si>
  <si>
    <t>RLT007.DRW101_WM</t>
  </si>
  <si>
    <t>RLT007_FIL_ABL_DIFF_DRUCK_WM</t>
  </si>
  <si>
    <t xml:space="preserve">RBA01.E03.A.319.F=ASP0303s.RLT007.DRW101  </t>
  </si>
  <si>
    <t>RLT007.DRW002_BM</t>
  </si>
  <si>
    <t>RLT007_ZUL_FAN_LÜW_BM</t>
  </si>
  <si>
    <t xml:space="preserve">RBA01.E03.A.319.F=ASP0303s.RLT007.DRW002001  </t>
  </si>
  <si>
    <t>RLT007.DRW102_BM</t>
  </si>
  <si>
    <t xml:space="preserve">RBA01.E03.A.319.F=ASP0303s.RLT007.DRW102  </t>
  </si>
  <si>
    <t>RLT007.DRW103_WM</t>
  </si>
  <si>
    <t>RLT007_WRG_DIFF_DRUCK_SM</t>
  </si>
  <si>
    <t xml:space="preserve">RBA01.E03.A.319.F=ASP0303s.RLT007.DRW103  </t>
  </si>
  <si>
    <t>RLT007.FSW001_SM</t>
  </si>
  <si>
    <t>RLT007_FROST_SM</t>
  </si>
  <si>
    <t xml:space="preserve">RBA01.E03.A.319.F=ASP0303s.RLT007.FSW001  </t>
  </si>
  <si>
    <t>RLT007.RME001_SM</t>
  </si>
  <si>
    <t>RLT007 - Störung Rauchmelder Zuluft</t>
  </si>
  <si>
    <t>RLT007_RM_ZUL_ALARM_SM</t>
  </si>
  <si>
    <t xml:space="preserve">RBA01.E03.A.319.F=ASP0303s.RLT007.RME001  </t>
  </si>
  <si>
    <t>RLT007.RME001_WM</t>
  </si>
  <si>
    <t>RLT007 - Wartung Rauchmelder Zuluft</t>
  </si>
  <si>
    <t>RLT007_RM_ZUL_SCHMUTZ_WM</t>
  </si>
  <si>
    <t>RLT007.RME101_SM</t>
  </si>
  <si>
    <t>RLT007 - Störung Rauchmelder Abluft</t>
  </si>
  <si>
    <t>RLT007_RM_ABL_ALARM_SM</t>
  </si>
  <si>
    <t>RLT007.RME101_WM</t>
  </si>
  <si>
    <t>RLT007 - Wartung Rauchmelder Abluft</t>
  </si>
  <si>
    <t>RLT007_RM_ABL_SCHMUTZ_WM</t>
  </si>
  <si>
    <t>RLT015.ZUV001_BM</t>
  </si>
  <si>
    <t>RLT015_ZUL_FAN_BM</t>
  </si>
  <si>
    <t>RLT015.ZUV001_SM</t>
  </si>
  <si>
    <t>RLT015 - Störung Zuluftventilator</t>
  </si>
  <si>
    <t>RLT015_ZUL_FAN_SM</t>
  </si>
  <si>
    <t>RLT015.ABV101_BM</t>
  </si>
  <si>
    <t>RLT015_ABL_FAN_BM</t>
  </si>
  <si>
    <t>RLT015.ABV101_SM</t>
  </si>
  <si>
    <t>RLT015 - Störung Abluftventilator</t>
  </si>
  <si>
    <t>RLT015_ABL_FAN_SM</t>
  </si>
  <si>
    <t>M11 253K10</t>
  </si>
  <si>
    <t>M11 253K10 - DI-16</t>
  </si>
  <si>
    <t>RLT015.LKL102_RMZ</t>
  </si>
  <si>
    <t>RLT015_ABL_KLP_ZU_BM</t>
  </si>
  <si>
    <t>RLT015.LKL102_RMA</t>
  </si>
  <si>
    <t>RLT015_ABL_KLP_AUF_BM</t>
  </si>
  <si>
    <t>RLT015.LKL001_RMZ</t>
  </si>
  <si>
    <t>RLT015_AUL_KLP_ZU_BM</t>
  </si>
  <si>
    <t>RLT015.LKL001_RMA</t>
  </si>
  <si>
    <t>RLT015_AUL_KLP_AUF_BM</t>
  </si>
  <si>
    <t>RLT015.LKL101_RMZ</t>
  </si>
  <si>
    <t>RLT015_FOL_KLP_ZU_BM</t>
  </si>
  <si>
    <t>RLT015.LKL101_RMA</t>
  </si>
  <si>
    <t>RLT015_FOL_KLP_AUF_BM</t>
  </si>
  <si>
    <t>RLT015.REP001_WM</t>
  </si>
  <si>
    <t>RLT015_ZUL_REP_WM</t>
  </si>
  <si>
    <t>RBA01.E03.A.319.F=ASP0303s.RLT015.REP001</t>
  </si>
  <si>
    <t>RLT015.REP101_WM</t>
  </si>
  <si>
    <t>RLT015_ABL_REP_WM</t>
  </si>
  <si>
    <t>RBA01.E03.A.319.F=ASP0303s.RLT015.REP101</t>
  </si>
  <si>
    <t>RLT015.DRW001_WM</t>
  </si>
  <si>
    <t>RLT015_FIL_AUL_DIFF_DRUCK_WM</t>
  </si>
  <si>
    <t>RBA01.E03.A.319.F=ASP0303s.RLT015.DRW001</t>
  </si>
  <si>
    <t>RLT015.DRW003_WM</t>
  </si>
  <si>
    <t>RLT015_FIL_ZUL_DIFF_DRUCK_WM</t>
  </si>
  <si>
    <t>RBA01.E03.A.319.F=ASP0303s.RLT015.DRW003</t>
  </si>
  <si>
    <t>RLT015.DRW101_WM</t>
  </si>
  <si>
    <t>RLT015_FIL_ABL_DIFF_DRUCK_WM</t>
  </si>
  <si>
    <t>RBA01.E03.A.319.F=ASP0303s.RLT015.DRW101</t>
  </si>
  <si>
    <t>RLT015.DRW102_WM</t>
  </si>
  <si>
    <t>RLT015_FIL_ABL_DIFF_DRUCK_WM_2</t>
  </si>
  <si>
    <t>RBA01.E03.A.319.F=ASP0303s.RLT015.DRW102</t>
  </si>
  <si>
    <t>RLT015.DRW002_BM</t>
  </si>
  <si>
    <t>RLT015_ZUL_FAN_LÜW_BM</t>
  </si>
  <si>
    <t>RBA01.E03.A.319.F=ASP0303s.RLT015.DRW002</t>
  </si>
  <si>
    <t>RLT015.DRW101_BM</t>
  </si>
  <si>
    <t>RLT015.DRW103_WM</t>
  </si>
  <si>
    <t>RLT015_WRG_DIFF_DRUCK_SM</t>
  </si>
  <si>
    <t>RBA01.E03.A.319.F=ASP0303s.RLT015.DRW103</t>
  </si>
  <si>
    <t>RLT015.FSW001_SM</t>
  </si>
  <si>
    <t>RLT015_FROST_SM</t>
  </si>
  <si>
    <t>RBA01.E03.A.319.F=ASP0303s.RLT015.FSW001</t>
  </si>
  <si>
    <t>M12 253K11</t>
  </si>
  <si>
    <t>M12 253K11 - DI-16</t>
  </si>
  <si>
    <t>RLT015.RME001_SM</t>
  </si>
  <si>
    <t>RLT015 - Störung Rauchmelder Zuluft</t>
  </si>
  <si>
    <t>RLT015_RM_ZUL_ALARM_SM</t>
  </si>
  <si>
    <t>RBA01.E03.A.319.F=ASP0303s.RLT015.RME001</t>
  </si>
  <si>
    <t>RLT015.RME001_WM</t>
  </si>
  <si>
    <t>RLT015 - Wartung Rauchmelder Zuluft</t>
  </si>
  <si>
    <t>RLT015_RM_ZUL_SCHMUTZ_WM</t>
  </si>
  <si>
    <t>RLT015.RME101_SM</t>
  </si>
  <si>
    <t>RLT015 - Störung Rauchmelder Abluft</t>
  </si>
  <si>
    <t>RLT015_RM_ABL_ALARM_SM</t>
  </si>
  <si>
    <t>RBA01.E03.A.319.F=ASP0303s.RLT015.RME101</t>
  </si>
  <si>
    <t>RLT015.RME101_WM</t>
  </si>
  <si>
    <t>RLT015 - Wartung Rauchmelder Abluft</t>
  </si>
  <si>
    <t>RLT015_RM_ABL_SCHMUTZ_WM</t>
  </si>
  <si>
    <t>M12 253K11_Leer Input_5?</t>
  </si>
  <si>
    <t>M12 253K11_Leer Input_6?</t>
  </si>
  <si>
    <t>M12 253K11_Leer Input_7?</t>
  </si>
  <si>
    <t>M12 253K11_Leer Input_8?</t>
  </si>
  <si>
    <t>M12 253K11_Leer Input_9?</t>
  </si>
  <si>
    <t>M12 253K11_Leer Input_10?</t>
  </si>
  <si>
    <t>M12 253K11_Leer Input_11?</t>
  </si>
  <si>
    <t>M12 253K11_Leer Input_12?</t>
  </si>
  <si>
    <t>M12 253K11_Leer Input_13?</t>
  </si>
  <si>
    <t>M12 253K11_Leer Input_14?</t>
  </si>
  <si>
    <t>M12 253K11_Leer Input_15?</t>
  </si>
  <si>
    <t>M12 253K11_Leer Input_16?</t>
  </si>
  <si>
    <t>UI-16</t>
  </si>
  <si>
    <t>M13 253K12</t>
  </si>
  <si>
    <t>M13 253K12 - UI-16</t>
  </si>
  <si>
    <t>ASP0303s_Schaltschrank_F2_TEMP_MW</t>
  </si>
  <si>
    <t>-327,67 °C</t>
  </si>
  <si>
    <t>RLT015.TFO101_MW</t>
  </si>
  <si>
    <t>RLT015 - Istwert  Fortlufttemperatur FS</t>
  </si>
  <si>
    <t>RLT015_FOL_TEMP_MW</t>
  </si>
  <si>
    <t>RBA01.E03.A.319.F=ASP0303s.RLT015.TFO101</t>
  </si>
  <si>
    <t>RLT007.TML001_TMW</t>
  </si>
  <si>
    <t>RLT007 - Istwert Feuchte Aussenluft</t>
  </si>
  <si>
    <t>RLT007_AUL_FEUCHT_MW</t>
  </si>
  <si>
    <t xml:space="preserve">RBA01.E03.A.319.F=ASP0303s.RLT007.TML001 </t>
  </si>
  <si>
    <t>RLT007.TML001_TEMP_MW</t>
  </si>
  <si>
    <t>RLT007 - Istwert Temperatur Aussenluft</t>
  </si>
  <si>
    <t>RLT007_AUL_TEMP_MW</t>
  </si>
  <si>
    <t>-20,00 °C</t>
  </si>
  <si>
    <t>80,00 °C</t>
  </si>
  <si>
    <t>24,42 °C</t>
  </si>
  <si>
    <t>RLT007.TML002_MW</t>
  </si>
  <si>
    <t>RLT007 - Istwert Feuchte Zuluft</t>
  </si>
  <si>
    <t>RLT007_ZUL_FEUCHT_MW</t>
  </si>
  <si>
    <t xml:space="preserve">RBA01.E03.A.319.F=ASP0303s.RLT007.TML002  </t>
  </si>
  <si>
    <t>RLT007.TML002_TEMP_MW</t>
  </si>
  <si>
    <t>RLT007 - Istwert Temperatur Zuluft</t>
  </si>
  <si>
    <t>RLT007_ZUL_TEMP_MW</t>
  </si>
  <si>
    <t>25,71 °C</t>
  </si>
  <si>
    <t>RLT007.TML101_MW</t>
  </si>
  <si>
    <t>RLT007 - Istwert Feuchte Abluft</t>
  </si>
  <si>
    <t>RLT007_ABL_FEUCHT_MW</t>
  </si>
  <si>
    <t xml:space="preserve">RBA01.E03.A.319.F=ASP0303s.RLT007.TML101  </t>
  </si>
  <si>
    <t>RLT007.TML101_TEMP_MW</t>
  </si>
  <si>
    <t>RLT007 - Istwert Temperatur Abluft</t>
  </si>
  <si>
    <t>RLT007_ABL_TEMP_MW</t>
  </si>
  <si>
    <t>24,19 °C</t>
  </si>
  <si>
    <t>RBA01.E03.A.319.F=ASP0303s.RLT017.TML101</t>
  </si>
  <si>
    <t>RLT007.TML102_MW</t>
  </si>
  <si>
    <t xml:space="preserve">RBA01.E03.A.319.F=ASP0303s.RLT017.TML101  </t>
  </si>
  <si>
    <t>RBA01.E03.A.319.F=ASP0303s.RLT017.TML102</t>
  </si>
  <si>
    <t>RLT007.TML102_TEMP_MW</t>
  </si>
  <si>
    <t>RLT007_AUL_TEMP_MW_2</t>
  </si>
  <si>
    <t xml:space="preserve">RBA01.E03.A.319.F=ASP0303s.RLT007.TML102  </t>
  </si>
  <si>
    <t>RLT007.TVL001_MW</t>
  </si>
  <si>
    <t>RLT007 - Istwert Vorlauftemp Lufterhitzer</t>
  </si>
  <si>
    <t>RLT007_HZG_VL_TEMP_MW</t>
  </si>
  <si>
    <t>33,95 °C</t>
  </si>
  <si>
    <t xml:space="preserve">RBA01.E03.A.319.F=ASP0303s.RLT007.TVL002  </t>
  </si>
  <si>
    <t>RLT007.TRL001_MW</t>
  </si>
  <si>
    <t>RLT007 - Istwert Rücklauftemp Lufterhitzer</t>
  </si>
  <si>
    <t>RLT007_HZG_RL_TEMP_MW</t>
  </si>
  <si>
    <t>34,10 °C</t>
  </si>
  <si>
    <t xml:space="preserve">RBA01.E03.A.319.F=ASP0303s.RLT007.TRL002  </t>
  </si>
  <si>
    <t>RLT007.TVL002_MW</t>
  </si>
  <si>
    <t>RLT007 - Istwert Vorlauftemp Luftkühler</t>
  </si>
  <si>
    <t>RLT007_KLT_VL_TEMP_MW</t>
  </si>
  <si>
    <t xml:space="preserve">RBA01.E03.A.319.F=ASP0303s.RLT007.TVL001  </t>
  </si>
  <si>
    <t>RLT007.TRL002_MW</t>
  </si>
  <si>
    <t>RLT007 - Istwert Rücklauftemp Luftkühler</t>
  </si>
  <si>
    <t>RLT007_KLT_RL_TEMP_MW</t>
  </si>
  <si>
    <t xml:space="preserve">RBA01.E03.A.319.F=ASP0303s.RLT007.TRL001  </t>
  </si>
  <si>
    <t>RLT007.PZU001_MW</t>
  </si>
  <si>
    <t>RLT007 - Istwert Zuluftdruck</t>
  </si>
  <si>
    <t>RLT007_ZUL_DRUCK_MW</t>
  </si>
  <si>
    <t>0,00 Pa</t>
  </si>
  <si>
    <t>1 000,00 Pa</t>
  </si>
  <si>
    <t>6,30 Pa</t>
  </si>
  <si>
    <t xml:space="preserve">RBA01.E03.A.319.F=ASP0303s.RLT007.PZU001  </t>
  </si>
  <si>
    <t>RLT007.PAB101_MW</t>
  </si>
  <si>
    <t>RLT007 - Istwert Abluftdruck</t>
  </si>
  <si>
    <t>RLT007_ABL_DRUCK_MW</t>
  </si>
  <si>
    <t>6,00 Pa</t>
  </si>
  <si>
    <t xml:space="preserve">RBA01.E03.A.319.F=ASP0303s.RLT007.PAB101  </t>
  </si>
  <si>
    <t>M14 253K13</t>
  </si>
  <si>
    <t>M14 253K13 - UI-16</t>
  </si>
  <si>
    <t>RLT007.TVL101_MW</t>
  </si>
  <si>
    <t>RLT007_KVS_VL_TEMP_MW</t>
  </si>
  <si>
    <t>RBA01.E03.A.319.F=ASP0303s.RLT007.TRL101</t>
  </si>
  <si>
    <t>RLT007.TRL101_MW</t>
  </si>
  <si>
    <t>RLT007_KVS_RL_TEMP_MW</t>
  </si>
  <si>
    <t>RLT015.ZUV001_MW</t>
  </si>
  <si>
    <t>RLT015 - Istwert Zuluftventilator</t>
  </si>
  <si>
    <t>RLT015_ZUL_FAN_MW</t>
  </si>
  <si>
    <t>-25,00 Hz</t>
  </si>
  <si>
    <t>RLT015.ABV101_MW</t>
  </si>
  <si>
    <t>RLT015 - Istwert Abluftventilator</t>
  </si>
  <si>
    <t>RLT015_ABL_FAN_MW</t>
  </si>
  <si>
    <t>RLT015.LKL004_MW</t>
  </si>
  <si>
    <t>RLT015_WRG_KLP1_MW</t>
  </si>
  <si>
    <t>RLT015.LKL005_MW</t>
  </si>
  <si>
    <t>RLT015_WRG_KLP2_MW</t>
  </si>
  <si>
    <t>RLT015.LKL002_MW</t>
  </si>
  <si>
    <t>RLT015_BYP_KLP1_MW</t>
  </si>
  <si>
    <t>RLT015.LKL003_MW</t>
  </si>
  <si>
    <t>RLT015_BYP_KLP2_MW</t>
  </si>
  <si>
    <t>RLT015.VEN001_MW</t>
  </si>
  <si>
    <t>RLT015 - Istwert Ventil Zuluft Lufterhitzer</t>
  </si>
  <si>
    <t>RLT015_HZG_VEN_MW</t>
  </si>
  <si>
    <t>RLT015.VEN002_MW</t>
  </si>
  <si>
    <t>RLT015 - Istwert Ventil Zuluft Luftkühler</t>
  </si>
  <si>
    <t>RLT015_VEN_KLT_MW</t>
  </si>
  <si>
    <t>RLT015.TML001_MW</t>
  </si>
  <si>
    <t>RLT015 - Istwert Feuchte Aussenluft</t>
  </si>
  <si>
    <t>RLT015_AUL_FEUCHT_MW</t>
  </si>
  <si>
    <t>RBA01.E03.A.319.F=ASP0303s.RLT015.TML001</t>
  </si>
  <si>
    <t>RLT015.TML001_TEMP_MW</t>
  </si>
  <si>
    <t>RLT015 - Istwert Temperatur Aussenluft</t>
  </si>
  <si>
    <t>RLT015_AUL_TEMP_MW</t>
  </si>
  <si>
    <t>24,01 °C</t>
  </si>
  <si>
    <t>RLT015.TML002_MW</t>
  </si>
  <si>
    <t>RLT015 - Istwert Feuchte Zuluft</t>
  </si>
  <si>
    <t>RLT015_ZUL_FEUCHT_MW</t>
  </si>
  <si>
    <t>RBA01.E03.A.319.F=ASP0303s.RLT015.TML002</t>
  </si>
  <si>
    <t>RLT015.TML002_TEMP_MW</t>
  </si>
  <si>
    <t>RLT015 - Istwert Temperatur Zuluft</t>
  </si>
  <si>
    <t>RLT015_ZUL_TEMP_MW</t>
  </si>
  <si>
    <t>21,54 °C</t>
  </si>
  <si>
    <t>RLT015.TML101_MW</t>
  </si>
  <si>
    <t>RLT015 - Istwert Feuchte Abluft</t>
  </si>
  <si>
    <t>RLT015_ABL_FEUCHT_MW</t>
  </si>
  <si>
    <t>RBA01.E03.A.319.F=ASP0303s.RLT015.TML101</t>
  </si>
  <si>
    <t>RLT015.TML101_TEMP_MW</t>
  </si>
  <si>
    <t>RLT015 - Istwert Temperatur Abluft</t>
  </si>
  <si>
    <t>RLT015_ABL_TEMP_MW</t>
  </si>
  <si>
    <t>24,61 °C</t>
  </si>
  <si>
    <t>M15 253K14</t>
  </si>
  <si>
    <t>M15 253K14 - UI-16</t>
  </si>
  <si>
    <t>RLT015.TVL001_MW</t>
  </si>
  <si>
    <t>RLT015 - Istwert Vorlauftemp Lufterhitzer</t>
  </si>
  <si>
    <t>RLT015_HZG_VL_TEMP_MW</t>
  </si>
  <si>
    <t>RBA01.E03.A.319.F=ASP0303s.RLT015.TVL001</t>
  </si>
  <si>
    <t>RLT015.TRL001_MW</t>
  </si>
  <si>
    <t>RLT015 - Istwert Rücklauftemp Lufterhitzer</t>
  </si>
  <si>
    <t>RLT015_HZG_RL_TEMP_MW</t>
  </si>
  <si>
    <t>RBA01.E03.A.319.F=ASP0303s.RLT015.TRL001</t>
  </si>
  <si>
    <t>RLT015.TVL002_MW</t>
  </si>
  <si>
    <t>RLT015 - Istwert Vorlauftemp Luftkühler</t>
  </si>
  <si>
    <t>RLT015_KLT_VL_TEMP_MW</t>
  </si>
  <si>
    <t>9,10 °C</t>
  </si>
  <si>
    <t>RBA01.E03.A.319.F=ASP0303s.RLT015.TVL002</t>
  </si>
  <si>
    <t>RLT015.TRL002_MW</t>
  </si>
  <si>
    <t>RLT015 - Istwert Rücklauftemp Luftkühler</t>
  </si>
  <si>
    <t>RLT015_KLT_RL_TEMP_MW</t>
  </si>
  <si>
    <t>9,11 °C</t>
  </si>
  <si>
    <t>RBA01.E03.A.319.F=ASP0303s.RLT015.TRL002</t>
  </si>
  <si>
    <t>RLT015.PZU001_MW</t>
  </si>
  <si>
    <t>RLT015 - Istwert Zuluftdruck</t>
  </si>
  <si>
    <t>RLT015_ZUL_DRUCK_MW</t>
  </si>
  <si>
    <t>3,70 Pa</t>
  </si>
  <si>
    <t>RBA01.E03.A.319.F=ASP0303s.RLT015.PZU001</t>
  </si>
  <si>
    <t>RLT015.PAB101_MW</t>
  </si>
  <si>
    <t>RLT015 - Istwert Abluftdruck</t>
  </si>
  <si>
    <t>RLT015_ABL_DRUCK_MW</t>
  </si>
  <si>
    <t>2,50 Pa</t>
  </si>
  <si>
    <t>RBA01.E03.A.319.F=ASP0303s.RLT015.PAB101</t>
  </si>
  <si>
    <t>RLT017.TVL101_MW</t>
  </si>
  <si>
    <t>RLT015_KVS_VL_TEMP_MW</t>
  </si>
  <si>
    <t>RBA01.E03.A.319.F=ASP0303s.RLT017.TVL101</t>
  </si>
  <si>
    <t>RLT017.TRL101_MW</t>
  </si>
  <si>
    <t>RLT015_KVS_RL_TEMP_MW</t>
  </si>
  <si>
    <t>20,85 °C</t>
  </si>
  <si>
    <t>RBA01.E03.A.319.F=ASP0303s.RLT017.TRL101</t>
  </si>
  <si>
    <t>M15 253K14_Leer Input_9?</t>
  </si>
  <si>
    <t>M15 253K14_Leer Input_10?</t>
  </si>
  <si>
    <t>M15 253K14_Leer Input_11?</t>
  </si>
  <si>
    <t>M15 253K14_Leer Input_12?</t>
  </si>
  <si>
    <t>M15 253K14_Leer Input_13?</t>
  </si>
  <si>
    <t>M15 253K14_Leer Input_14?</t>
  </si>
  <si>
    <t>M15 253K14_Leer Input_15?</t>
  </si>
  <si>
    <t>M15 253K14_Leer Input_16?</t>
  </si>
  <si>
    <t>M17 300K1</t>
  </si>
  <si>
    <t>M17 300K1 - DO-FC-8</t>
  </si>
  <si>
    <t>RLT017.ZUV001_SB</t>
  </si>
  <si>
    <t>RLT017 - Schaltbefehl Zuluftventilator</t>
  </si>
  <si>
    <t>RLT017_ZUL_FAN_SB</t>
  </si>
  <si>
    <t>RBA01.E03.A.319.F=ASP0303s.RLT017.ZUV001</t>
  </si>
  <si>
    <t>RLT017.ABV101_SB</t>
  </si>
  <si>
    <t>RLT017 - Schaltbefehl Abluftventilator</t>
  </si>
  <si>
    <t>RLT017_ABL_FAN_SB</t>
  </si>
  <si>
    <t>RBA01.E03.A.319.F=ASP0303s.RLT017.ABV101</t>
  </si>
  <si>
    <t>RLT017.PPE001_SB</t>
  </si>
  <si>
    <t>RLT017_PUM_SB</t>
  </si>
  <si>
    <t>RBA01.E03.A.319.F=ASP0303s.RLT017.PPE001</t>
  </si>
  <si>
    <t>RLT017.LKL001_SB</t>
  </si>
  <si>
    <t>RLT017_AUL_KLP_SB</t>
  </si>
  <si>
    <t>RBA01.E03.A.319.F=ASP0303s.RLT017.LKL001</t>
  </si>
  <si>
    <t>RLT017.LKL101_SB</t>
  </si>
  <si>
    <t>RLT017_FOL_KLP_SB</t>
  </si>
  <si>
    <t>RBA01.E03.A.319.F=ASP0303s.RLT017.LKL101</t>
  </si>
  <si>
    <t>M17 300K1_Leer Output_6?</t>
  </si>
  <si>
    <t>M17 300K1_Leer Output_7?</t>
  </si>
  <si>
    <t>M17 300K1_Leer Output_8?</t>
  </si>
  <si>
    <t>M18 300K2</t>
  </si>
  <si>
    <t>M18 300K2 - AO-V-8</t>
  </si>
  <si>
    <t>RLT017.ZUV001_YB</t>
  </si>
  <si>
    <t>RLT017 - Stellsignal Zuluftventilator</t>
  </si>
  <si>
    <t>RLT017_ZUL_FAN_YB</t>
  </si>
  <si>
    <t>RLT017.ABV101_YB</t>
  </si>
  <si>
    <t>RLT017 - Stellsignal Abluftventilator</t>
  </si>
  <si>
    <t>RLT017_ABL_FAN_YB</t>
  </si>
  <si>
    <t>RLT017.PPE001_YB</t>
  </si>
  <si>
    <t>RLT017 - Stellsignal Pumpe WRG KSV</t>
  </si>
  <si>
    <t>RLT017_PUM_YB</t>
  </si>
  <si>
    <t>RLT017.LKL004_YB</t>
  </si>
  <si>
    <t>RLT017_WRG_KLP_YB</t>
  </si>
  <si>
    <t>RBA01.E03.A.319.F=ASP0303s.RLT017.LKL004</t>
  </si>
  <si>
    <t>RLT017.LKL003_YB</t>
  </si>
  <si>
    <t>RLT017_BYP_KLP_YB</t>
  </si>
  <si>
    <t>RBA01.E03.A.319.F=ASP0303s.RLT017.LKL003</t>
  </si>
  <si>
    <t>RLT017.LKL102_YB</t>
  </si>
  <si>
    <t>RLT017 - Stellsignal Umluftklappe</t>
  </si>
  <si>
    <t>RLT017_UML_KLP_YB</t>
  </si>
  <si>
    <t>RBA01.E03.A.319.F=ASP0303s.RLT017.LKL102</t>
  </si>
  <si>
    <t>RLT017.VEN001_YB</t>
  </si>
  <si>
    <t>RLT017_HZG_VEN_YB</t>
  </si>
  <si>
    <t>RBA01.E03.A.319.F=ASP0303s.RLT017.VEN001</t>
  </si>
  <si>
    <t>RLT017.VEN002_YB</t>
  </si>
  <si>
    <t>RLT017_KLT_VEN_YB</t>
  </si>
  <si>
    <t>RBA01.E03.A.319.F=ASP0303s.RLT017.VEN002</t>
  </si>
  <si>
    <t>M19 300K3</t>
  </si>
  <si>
    <t>M19 300K3 - AO-V-8</t>
  </si>
  <si>
    <t>RLT017.VEN101_YB</t>
  </si>
  <si>
    <t>RLT017 - Stellsignal WRG Ventil KVS</t>
  </si>
  <si>
    <t>RLT017_KVS_VEN_YB</t>
  </si>
  <si>
    <t>MFR_FCU1_YB</t>
  </si>
  <si>
    <t xml:space="preserve">MFR_FCU1_YB - </t>
  </si>
  <si>
    <t>MFR_FCU1_KLT_VEN_MW</t>
  </si>
  <si>
    <t xml:space="preserve">MFR_FCU1_KLT_VEN_MW - </t>
  </si>
  <si>
    <t>MFR_FCU2_YB</t>
  </si>
  <si>
    <t xml:space="preserve">MFR_FCU2_YB - </t>
  </si>
  <si>
    <t>MFR_FCU2_KLT_VEN_MW</t>
  </si>
  <si>
    <t xml:space="preserve">MFR_FCU2_KLT_VEN_MW - </t>
  </si>
  <si>
    <t>MFR_FCU3_YB</t>
  </si>
  <si>
    <t xml:space="preserve">MFR_FCU3_YB - </t>
  </si>
  <si>
    <t>MFR_FCU3_KLT_VEN_MW</t>
  </si>
  <si>
    <t xml:space="preserve">MFR_FCU3_KLT_VEN_MW - </t>
  </si>
  <si>
    <t>MFR_FCU4_YB</t>
  </si>
  <si>
    <t xml:space="preserve">MFR_FCU4_YB - </t>
  </si>
  <si>
    <t>M20 300K4</t>
  </si>
  <si>
    <t>M20 300K4 - AO-V-8</t>
  </si>
  <si>
    <t>MFR_FCU4_KLT_VEN_MW</t>
  </si>
  <si>
    <t xml:space="preserve">MFR_FCU4_KLT_VEN_MW - </t>
  </si>
  <si>
    <t>MFR_FCU5_YB</t>
  </si>
  <si>
    <t xml:space="preserve">MFR_FCU5_YB - </t>
  </si>
  <si>
    <t>MFR_FCU5_KLT_VEN_MW</t>
  </si>
  <si>
    <t xml:space="preserve">MFR_FCU5_KLT_VEN_MW - </t>
  </si>
  <si>
    <t>MFR_FCU6_YB</t>
  </si>
  <si>
    <t xml:space="preserve">MFR_FCU6_YB - </t>
  </si>
  <si>
    <t>MFR_FCU6_KLT_VEN_MW</t>
  </si>
  <si>
    <t xml:space="preserve">MFR_FCU6_KLT_VEN_MW - </t>
  </si>
  <si>
    <t>MFR_FCU7_YB</t>
  </si>
  <si>
    <t xml:space="preserve">MFR_FCU7_YB - </t>
  </si>
  <si>
    <t>MFR_FCU7_KLT_VEN_MW</t>
  </si>
  <si>
    <t xml:space="preserve">MFR_FCU7_KLT_VEN_MW - </t>
  </si>
  <si>
    <t>MFR_FCU8_YB</t>
  </si>
  <si>
    <t xml:space="preserve">MFR_FCU8_YB - </t>
  </si>
  <si>
    <t>M21 300K5</t>
  </si>
  <si>
    <t>M21 300K5 - UI-8.AO-V-4</t>
  </si>
  <si>
    <t>RLT017.ZUV001_MW</t>
  </si>
  <si>
    <t>RLT017 - Istwert Zuluftventilator</t>
  </si>
  <si>
    <t>RLT017_ZUL_FAN_MW</t>
  </si>
  <si>
    <t>RLT017.ABV101_MW</t>
  </si>
  <si>
    <t>RLT017 - Istwert Abluftventilator</t>
  </si>
  <si>
    <t>RLT017_ABL_FAN_MW</t>
  </si>
  <si>
    <t>RLT017.LKL004_MW</t>
  </si>
  <si>
    <t>RLT017_WRG_KLP_MW</t>
  </si>
  <si>
    <t>RLT017.LKL003_MW</t>
  </si>
  <si>
    <t>RLT017_BYP_KLP_MW</t>
  </si>
  <si>
    <t>RLT017LKL102_MW</t>
  </si>
  <si>
    <t>RLT017_UML_KLP_MW</t>
  </si>
  <si>
    <t>RLT017.VEN001_MW</t>
  </si>
  <si>
    <t>RLT017 - Istwert Ventil Zuluft Lufterhitzer</t>
  </si>
  <si>
    <t>RLT017_HZG_VEN_MW</t>
  </si>
  <si>
    <t>RLT017.VEN002_MW</t>
  </si>
  <si>
    <t>RLT017_VEN_KLT_MW</t>
  </si>
  <si>
    <t>RLT017.VEN101_MW</t>
  </si>
  <si>
    <t>RLT017_VEN_KLT_MW_2</t>
  </si>
  <si>
    <t>RBA01.E03.A.319.F=ASP0303s.RLT017.VEN101</t>
  </si>
  <si>
    <t>MFR_FCU8_KLT_VEN_MW</t>
  </si>
  <si>
    <t xml:space="preserve">MFR_FCU8_KLT_VEN_MW - </t>
  </si>
  <si>
    <t>MFR_FCU9_YB</t>
  </si>
  <si>
    <t xml:space="preserve">MFR_FCU9_YB - </t>
  </si>
  <si>
    <t>MFR_FCU9_KLT_VEN_MW</t>
  </si>
  <si>
    <t xml:space="preserve">MFR_FCU9_KLT_VEN_MW - </t>
  </si>
  <si>
    <t>M21 300K5_Leer Output_4?</t>
  </si>
  <si>
    <t>M22 300K6</t>
  </si>
  <si>
    <t>M22 300K6 - DI-16</t>
  </si>
  <si>
    <t>RLT017.ZUV001_BM</t>
  </si>
  <si>
    <t>RLT017_ZUL_FAN_BM</t>
  </si>
  <si>
    <t>RLT017.ZUV001_SM</t>
  </si>
  <si>
    <t>RLT017 - Störung Zuluftventilator</t>
  </si>
  <si>
    <t>RLT017_ZUL_FAN_SM</t>
  </si>
  <si>
    <t>RLT017.ABV101_BM</t>
  </si>
  <si>
    <t>RLT017_ABL_FAN_BM</t>
  </si>
  <si>
    <t>RLT017.ABV101_SM</t>
  </si>
  <si>
    <t>RLT017 - Störung Abluftventilator</t>
  </si>
  <si>
    <t>RLT017_ABL_FAN_SM</t>
  </si>
  <si>
    <t>RLT017.PPE001_BM</t>
  </si>
  <si>
    <t>RLT017 - Betrieb Pumpe WRG KSV</t>
  </si>
  <si>
    <t>RLT017_PUM_BM</t>
  </si>
  <si>
    <t>RLT017.PPE001_SM</t>
  </si>
  <si>
    <t>RLT017 - Störung Pumpe WRG KSV</t>
  </si>
  <si>
    <t>RLT017_PUM_SM</t>
  </si>
  <si>
    <t>RLT017.LKL001_RMZ</t>
  </si>
  <si>
    <t>RLT017_AUL_KLP_ZU_BM</t>
  </si>
  <si>
    <t>RLT017.LKL001_RMA</t>
  </si>
  <si>
    <t>RLT017_AUL_KLP_AUF_BM</t>
  </si>
  <si>
    <t>RLT017.LKL101_RMZ</t>
  </si>
  <si>
    <t>RLT017_FOL_KLP_ZU_BM</t>
  </si>
  <si>
    <t>RLT017.LKL101_RMA</t>
  </si>
  <si>
    <t>RLT017_FOL_KLP_AUF_BM</t>
  </si>
  <si>
    <t>RLT017.REP001_WM</t>
  </si>
  <si>
    <t>RLT017_ZUL_REP_WM</t>
  </si>
  <si>
    <t>RBA01.E03.A.319.F=ASP0303s.RLT017.REP001</t>
  </si>
  <si>
    <t>RLT017.REP101_WM</t>
  </si>
  <si>
    <t>RLT017_ABL_REP_WM</t>
  </si>
  <si>
    <t>RBA01.E03.A.319.F=ASP0303s.RLT017.REP101</t>
  </si>
  <si>
    <t>RLT017.DRW001_WM</t>
  </si>
  <si>
    <t>RLT017_FIL_AUL_DIFF_DRUCK_WM</t>
  </si>
  <si>
    <t>RBA01.E03.A.319.F=ASP0303s.RLT017.DRW001</t>
  </si>
  <si>
    <t>RLT017.DRW003_WM</t>
  </si>
  <si>
    <t>RLT017_FIL_ZUL_DIFF_DRUCK_WM</t>
  </si>
  <si>
    <t>RBA01.E03.A.319.F=ASP0303s.RLT017.DRW003</t>
  </si>
  <si>
    <t>RLT017.DRW101_WM</t>
  </si>
  <si>
    <t>RLT017_FIL_ABL_DIFF_DRUCK_WM</t>
  </si>
  <si>
    <t>RBA01.E03.A.319.F=ASP0303s.RLT017.DRW101</t>
  </si>
  <si>
    <t>RLT017.DRW002_BM</t>
  </si>
  <si>
    <t>RLT017_ZUL_FAN_LÜW_BM</t>
  </si>
  <si>
    <t>RBA01.E03.A.319.F=ASP0303s.RLT017.DRW002</t>
  </si>
  <si>
    <t>M23 300K7</t>
  </si>
  <si>
    <t>M23 300K7 - DI-16</t>
  </si>
  <si>
    <t>RLT017.DRW102_BM</t>
  </si>
  <si>
    <t>RLT017.DRW103_WM</t>
  </si>
  <si>
    <t>RLT017_WRG_DIFF_DRUCK_SM</t>
  </si>
  <si>
    <t>RBA01.E03.A.319.F=ASP0303s.RLT017.DRW103</t>
  </si>
  <si>
    <t>RLT017.FSW001_SM</t>
  </si>
  <si>
    <t>RLT017_FROST_SM</t>
  </si>
  <si>
    <t>RBA01.E03.A.319.F=ASP0303s.RLT017.FSW001</t>
  </si>
  <si>
    <t>RLT017.RME001_SM</t>
  </si>
  <si>
    <t>RLT017 - Störung Rauchmelder Zuluft</t>
  </si>
  <si>
    <t>RLT017_RM_ZUL_ALARM_SM</t>
  </si>
  <si>
    <t>RBA01.E03.A.319.F=ASP0303s.RLT017.RME001</t>
  </si>
  <si>
    <t>RLT017.RME001_WM</t>
  </si>
  <si>
    <t>RLT017 - Wartung Rauchmelder Zuluft</t>
  </si>
  <si>
    <t>RLT017_RM_ZUL_SCHMUTZ_WM</t>
  </si>
  <si>
    <t>RLT017.RME101_SM</t>
  </si>
  <si>
    <t>RLT017 - Störung Rauchmelder Abluft</t>
  </si>
  <si>
    <t>RLT017_RM_ABL_ALARM_SM</t>
  </si>
  <si>
    <t>RBA01.E03.A.319.F=ASP0303s.RLT017.RME101</t>
  </si>
  <si>
    <t>RLT017.RME101_WM</t>
  </si>
  <si>
    <t>RLT017 - Wartung Rauchmelder Abluft</t>
  </si>
  <si>
    <t>RLT017_RM_ABL_SCHMUTZ_WM</t>
  </si>
  <si>
    <t>MFR_FCU1_SM</t>
  </si>
  <si>
    <t xml:space="preserve">MFR_FCU1_SM - </t>
  </si>
  <si>
    <t>MFR_FCU1_PUM_SM</t>
  </si>
  <si>
    <t xml:space="preserve">MFR_FCU1_PUM_SM - </t>
  </si>
  <si>
    <t>MFR_FCU2_SM</t>
  </si>
  <si>
    <t xml:space="preserve">MFR_FCU2_SM - </t>
  </si>
  <si>
    <t>MFR_FCU2_PUM_SM</t>
  </si>
  <si>
    <t xml:space="preserve">MFR_FCU2_PUM_SM - </t>
  </si>
  <si>
    <t>MFR_FCU3_SM</t>
  </si>
  <si>
    <t xml:space="preserve">MFR_FCU3_SM - </t>
  </si>
  <si>
    <t>MFR_FCU3_PUM_SM</t>
  </si>
  <si>
    <t xml:space="preserve">MFR_FCU3_PUM_SM - </t>
  </si>
  <si>
    <t>MFR_FCU4_SM</t>
  </si>
  <si>
    <t xml:space="preserve">MFR_FCU4_SM - </t>
  </si>
  <si>
    <t>MFR_FCU4_PUM_SM</t>
  </si>
  <si>
    <t xml:space="preserve">MFR_FCU4_PUM_SM - </t>
  </si>
  <si>
    <t>MFR_FCU5_SM</t>
  </si>
  <si>
    <t xml:space="preserve">MFR_FCU5_SM - </t>
  </si>
  <si>
    <t>M24 300K8</t>
  </si>
  <si>
    <t>M24 300K8 - UI-16</t>
  </si>
  <si>
    <t>RLT017.TML001_MW</t>
  </si>
  <si>
    <t>RLT017 - Istwert Feuchte Aussenluft</t>
  </si>
  <si>
    <t>RLT017_AUL_FEUCHT_MW</t>
  </si>
  <si>
    <t>RBA01.E03.A.319.F=ASP0303s.RLT017.TML001</t>
  </si>
  <si>
    <t>RLT017.TML001_TEMP_MW</t>
  </si>
  <si>
    <t>RLT017 - Istwert Temperatur Aussenluft</t>
  </si>
  <si>
    <t>RLT017_AUL_TEMP_MW</t>
  </si>
  <si>
    <t>25,58 °C</t>
  </si>
  <si>
    <t>RLT017.TML002_MW</t>
  </si>
  <si>
    <t>RLT017 - Istwert Feuchte Zuluft</t>
  </si>
  <si>
    <t>RLT017_ZUL_FEUCHT_MW</t>
  </si>
  <si>
    <t>RBA01.E03.A.319.F=ASP0303s.RLT017.TML002</t>
  </si>
  <si>
    <t>RLT017.TML002_TEMP_MW</t>
  </si>
  <si>
    <t>RLT017 - Istwert Temperatur Zuluft</t>
  </si>
  <si>
    <t>RLT017_ZUL_TEMP_MW</t>
  </si>
  <si>
    <t>25,46 °C</t>
  </si>
  <si>
    <t>RLT017.TML101_MW</t>
  </si>
  <si>
    <t>RLT017 - Istwert Feuchte Abluft</t>
  </si>
  <si>
    <t>RLT017_ABL_FEUCHT_MW</t>
  </si>
  <si>
    <t>RLT017.TML101_TEMP_MW</t>
  </si>
  <si>
    <t>RLT017 - Istwert Temperatur Abluft</t>
  </si>
  <si>
    <t>RLT017_ABL_TEMP_MW</t>
  </si>
  <si>
    <t>25,67 °C</t>
  </si>
  <si>
    <t>RLT017.TML102_MW</t>
  </si>
  <si>
    <t>RLT017_AUL_FEUCHT_MW_2</t>
  </si>
  <si>
    <t>RLT017.TML102_TEMP_MW</t>
  </si>
  <si>
    <t>RLT017_AUL_TEMP_MW_2</t>
  </si>
  <si>
    <t>RLT017.TVL001_MW</t>
  </si>
  <si>
    <t>RLT017 - Istwert Vorlauftemp Lufterhitzer</t>
  </si>
  <si>
    <t>RLT017_HZG_VL_TEMP_MW</t>
  </si>
  <si>
    <t>RBA01.E03.A.319.F=ASP0303s.RLT017.TVL001</t>
  </si>
  <si>
    <t>RLT017.TRL001_MW</t>
  </si>
  <si>
    <t>RLT017 - Istwert Rücklauftemp Lufterhitzer</t>
  </si>
  <si>
    <t>RLT017_HZG_RL_TEMP_MW</t>
  </si>
  <si>
    <t>RBA01.E03.A.319.F=ASP0303s.RLT017.TRL001</t>
  </si>
  <si>
    <t>RLT017.TVL002_MW</t>
  </si>
  <si>
    <t>RLT017 - Istwert Vorlauftemp Luftkühler</t>
  </si>
  <si>
    <t>RLT017_KLT_VL_TEMP_MW</t>
  </si>
  <si>
    <t>RBA01.E03.A.319.F=ASP0303s.RLT017.TVL002</t>
  </si>
  <si>
    <t>RLT017.TRL002_MW</t>
  </si>
  <si>
    <t>RLT017 - Istwert Rücklauftemp Luftkühler</t>
  </si>
  <si>
    <t>RLT017_KLT_RL_TEMP_MW</t>
  </si>
  <si>
    <t>RBA01.E03.A.319.F=ASP0303s.RLT017.TRL002</t>
  </si>
  <si>
    <t>RLT017.PZU001_MW</t>
  </si>
  <si>
    <t>RLT017 - Istwert Zuluftdruck</t>
  </si>
  <si>
    <t>RLT017_ZUL_DRUCK_MW</t>
  </si>
  <si>
    <t>8,70 Pa</t>
  </si>
  <si>
    <t>RBA01.E03.A.319.F=ASP0303s.RLT017.PZU001</t>
  </si>
  <si>
    <t>RLT017.PAB101_MW</t>
  </si>
  <si>
    <t>RLT017 - Istwert Abluftdruck</t>
  </si>
  <si>
    <t>RLT017_ABL_DRUCK_MW</t>
  </si>
  <si>
    <t>8,10 Pa</t>
  </si>
  <si>
    <t>RBA01.E03.A.319.F=ASP0303s.RLT017.PAB101</t>
  </si>
  <si>
    <t>MFR_FCU1_TEMP_MW</t>
  </si>
  <si>
    <t xml:space="preserve">MFR_FCU1_TEMP_MW - </t>
  </si>
  <si>
    <t>MFR_FCU2_TEMP_MW</t>
  </si>
  <si>
    <t xml:space="preserve">MFR_FCU2_TEMP_MW - </t>
  </si>
  <si>
    <t>M25 300K9</t>
  </si>
  <si>
    <t>M25 300K9 - UI-16</t>
  </si>
  <si>
    <t>MFR_FCU3_TEMP_MW</t>
  </si>
  <si>
    <t xml:space="preserve">MFR_FCU3_TEMP_MW - </t>
  </si>
  <si>
    <t>MFR_FCU4_TEMP_MW</t>
  </si>
  <si>
    <t xml:space="preserve">MFR_FCU4_TEMP_MW - </t>
  </si>
  <si>
    <t>MFR_FCU5_PUM_SM</t>
  </si>
  <si>
    <t xml:space="preserve">MFR_FCU5_PUM_SM - </t>
  </si>
  <si>
    <t>MFR_FCU6_SM</t>
  </si>
  <si>
    <t xml:space="preserve">MFR_FCU6_SM - </t>
  </si>
  <si>
    <t>MFR_FCU5_TEMP_MW</t>
  </si>
  <si>
    <t xml:space="preserve">MFR_FCU5_TEMP_MW - </t>
  </si>
  <si>
    <t>MFR_FCU6_TEMP_MW</t>
  </si>
  <si>
    <t xml:space="preserve">MFR_FCU6_TEMP_MW - </t>
  </si>
  <si>
    <t>MFR_FCU6_PUM_SM</t>
  </si>
  <si>
    <t xml:space="preserve">MFR_FCU6_PUM_SM - </t>
  </si>
  <si>
    <t>MFR_FCU7_SM</t>
  </si>
  <si>
    <t xml:space="preserve">MFR_FCU7_SM - </t>
  </si>
  <si>
    <t>MFR_FCU7_PUM_SM</t>
  </si>
  <si>
    <t xml:space="preserve">MFR_FCU7_PUM_SM - </t>
  </si>
  <si>
    <t>M25 300K9_Leer Input_16?</t>
  </si>
  <si>
    <t>M26 300K10</t>
  </si>
  <si>
    <t>M26 300K10 - UI-16</t>
  </si>
  <si>
    <t>MFR_FCU7_TEMP_MW</t>
  </si>
  <si>
    <t xml:space="preserve">MFR_FCU7_TEMP_MW - </t>
  </si>
  <si>
    <t>MFR_FCU8_TEMP_MW</t>
  </si>
  <si>
    <t xml:space="preserve">MFR_FCU8_TEMP_MW - </t>
  </si>
  <si>
    <t>MFR_FCU8_PUM_SM</t>
  </si>
  <si>
    <t xml:space="preserve">MFR_FCU8_PUM_SM - </t>
  </si>
  <si>
    <t>MFR_FCU9_SM</t>
  </si>
  <si>
    <t xml:space="preserve">MFR_FCU9_SM - </t>
  </si>
  <si>
    <t>MFR_FCU9_PUM_SM</t>
  </si>
  <si>
    <t xml:space="preserve">MFR_FCU9_PUM_SM - </t>
  </si>
  <si>
    <t>M26 300K10_Leer Input_8?</t>
  </si>
  <si>
    <t>MFR_FCU9_TEMP_MW</t>
  </si>
  <si>
    <t xml:space="preserve">MFR_FCU9_TEMP_MW - </t>
  </si>
  <si>
    <t>ASP0303s_Schaltschrank_F4_TEMP_MW</t>
  </si>
  <si>
    <t>M26 300K10_Leer Input_12?</t>
  </si>
  <si>
    <t>M26 300K10_Leer Input_13?</t>
  </si>
  <si>
    <t>M26 300K10_Leer Input_14?</t>
  </si>
  <si>
    <t>M26 300K10_Leer Input_15?</t>
  </si>
  <si>
    <t>M26 300K10_Leer Input_16?</t>
  </si>
  <si>
    <t xml:space="preserve">IP: </t>
  </si>
  <si>
    <t>ELT303 - Schaltbefehl Fernresettaster</t>
  </si>
  <si>
    <t>BMA001 - Schaltbefehl BMZ021</t>
  </si>
  <si>
    <t>BMA001 - Schaltbefehl BMZ035</t>
  </si>
  <si>
    <t>BMA001 - Schaltbefehl BMZ034</t>
  </si>
  <si>
    <t>BMA001 - Schaltbefehl BMZ046</t>
  </si>
  <si>
    <t>BMA001 - Schaltbefehl BMZ047</t>
  </si>
  <si>
    <t>RLT007 - Schaltbefehl Entrauchung Auto</t>
  </si>
  <si>
    <t>RLT007 - Schaltbefehl Entrauchung AUS</t>
  </si>
  <si>
    <t>RLT007 - Schaltbefehl Entrauchung EIN</t>
  </si>
  <si>
    <t>RLT015 - Schaltbefehl Entrauchung Auto</t>
  </si>
  <si>
    <t>RLT015 - Schaltbefehl Entrauchung AUS</t>
  </si>
  <si>
    <t>RLT015 - Schaltbefehl Entrauchung EIN</t>
  </si>
  <si>
    <t>RLT017 - Schaltbefehl Entrauchung Auto</t>
  </si>
  <si>
    <t>RLT017 - Schaltbefehl Entrauchung AUS</t>
  </si>
  <si>
    <t>RLT017 - Schaltbefehl Entrauchung EIN</t>
  </si>
  <si>
    <t>RLT007 - Schaltbefehl Klappe Aussenluft</t>
  </si>
  <si>
    <t>RLT007 - Schaltbefehl Klappe Fortluft</t>
  </si>
  <si>
    <t>RLT015 - Schaltbefehl Klappe Abluft</t>
  </si>
  <si>
    <t>RLT015 - Schaltbefehl Klappe Aussenluft</t>
  </si>
  <si>
    <t>RLT007 - Stellsignal Ventil Lufterhitzer</t>
  </si>
  <si>
    <t>RLT007 - Stellsignal Ventil Luftkühler</t>
  </si>
  <si>
    <t>RLT015 - Stellsignal Ventil Lufterhitzer</t>
  </si>
  <si>
    <t>RLT007 - Istwert Umluftklappe</t>
  </si>
  <si>
    <t>RLT007 - Istwert Ventil WRG KVS</t>
  </si>
  <si>
    <t>RLT007 - Istwert Ventil Lufterhitzer</t>
  </si>
  <si>
    <t>RLT007 - Istwert Ventil Luftkühler</t>
  </si>
  <si>
    <t>RLT015 - Stellsignal Ventil Luftkühler</t>
  </si>
  <si>
    <t>ASP0303s - Störung Überspannungsschutz</t>
  </si>
  <si>
    <t>ASP0303s - Störung 24VDC</t>
  </si>
  <si>
    <t>ASP0303s - Störung Phasenüberwachung</t>
  </si>
  <si>
    <t>ASP0303s - Rückmeldung Entsperren</t>
  </si>
  <si>
    <t>RLT007 - Betrieb Zuluftventilator FU</t>
  </si>
  <si>
    <t>RLT007 - Betrieb   Abluftventilator FU</t>
  </si>
  <si>
    <t>RLT007 - Lüftungsklappe Aussenluft ZU</t>
  </si>
  <si>
    <t>RLT007 - Lüftungsklappe Aussenluft AUF</t>
  </si>
  <si>
    <t>RLT007 - Lüftungsklappe Fortluft ZU</t>
  </si>
  <si>
    <t>RLT007 - Lüftungsklappe Fortluft AUF</t>
  </si>
  <si>
    <t>RLT007 - RepSchalter Zuluft Ventilator</t>
  </si>
  <si>
    <t>RLT007 - RepSchalter Abluft Ventilator</t>
  </si>
  <si>
    <t>RLT007 - Filterwächter Aussenluft</t>
  </si>
  <si>
    <t>RLT007 - Filterwächter Zuluft</t>
  </si>
  <si>
    <t>RLT007 - Filterwächter Abluft</t>
  </si>
  <si>
    <t>RLT007 - Luftstromüberwachung Abluft</t>
  </si>
  <si>
    <t>RLT007 - Luftstromüberwachung Zuluft</t>
  </si>
  <si>
    <t>RLT007 - Frostschutzwächter Zuluft</t>
  </si>
  <si>
    <t>RLT015 - Betrieb Zuluftventilator FU</t>
  </si>
  <si>
    <t>RLT015 - Betrieb  Abluftventilator FU</t>
  </si>
  <si>
    <t>RLT015 - Lüftungsklappe Abluft ZU</t>
  </si>
  <si>
    <t>RLT015 - Lüftungsklappe Abluft AUF</t>
  </si>
  <si>
    <t>RLT015 - Lüftungsklappe Aussenluft ZU</t>
  </si>
  <si>
    <t>RLT015 - Lüftungsklappe Aussenluft AUF</t>
  </si>
  <si>
    <t>RLT015 - RepSchalter Zuluft Ventilator</t>
  </si>
  <si>
    <t>RLT015 - RepSchalter Abluft Ventilator</t>
  </si>
  <si>
    <t>RLT015 - Filterwächter Aussenluft</t>
  </si>
  <si>
    <t>RLT015 - Filterwächter Zuluft</t>
  </si>
  <si>
    <t>RLT015 - Filterwächter Abluft 1</t>
  </si>
  <si>
    <t>RLT015 - Filterwächter Abluft 2</t>
  </si>
  <si>
    <t>RLT015 - Luftstromüberwachung Zuluft</t>
  </si>
  <si>
    <t>RLT015 - Luftstromüberwachung Abluft</t>
  </si>
  <si>
    <t>RLT015 - Frostschutzwächter Zuluft</t>
  </si>
  <si>
    <t>ASP0303s - Schaltschrank Feld 2 Temp.</t>
  </si>
  <si>
    <t>RLT007 - Istwert Feuchte nach WRG</t>
  </si>
  <si>
    <t>RLT007 - Istwert Temperatur nach WRG</t>
  </si>
  <si>
    <t>RLT007 - Istwert Vorlauftemp WRG KVS</t>
  </si>
  <si>
    <t>RLT007 - Istwert Rücklauftemp WRG KVS</t>
  </si>
  <si>
    <t>RLT015 - Istwert Lüftungsklappe WRG 1</t>
  </si>
  <si>
    <t>RLT015 - Istwert Lüftungsklappe WRG 2</t>
  </si>
  <si>
    <t>RLT017 - Istwert Vorlauftemp WRG KVS</t>
  </si>
  <si>
    <t>RLT017 - Istwert Rücklauftemp WRG KVS</t>
  </si>
  <si>
    <t>RLT017 - Schaltbefehl Pumpe WRG KVS</t>
  </si>
  <si>
    <t>RLT007 - Schaltbefehl Pumpe WRG KVS</t>
  </si>
  <si>
    <t>RLT017 - Schaltbefehl Klappe Abluft</t>
  </si>
  <si>
    <t>RLT017 - Schaltbefehl Klappe Aussenluft</t>
  </si>
  <si>
    <t>RLT017 - Stellsignal Ventil Lufterhitzer</t>
  </si>
  <si>
    <t>RLT017 - Stellsignal Ventil Luftkühler</t>
  </si>
  <si>
    <t>RLT017 - Istwert Umluftklappe</t>
  </si>
  <si>
    <t>RLT017 - Istwert Ventil Zuluft Luftkühler</t>
  </si>
  <si>
    <t>RLT017 - Istwert Ventil WRG KVS</t>
  </si>
  <si>
    <t>RLT017 - Betrieb Zuluftventilator FU</t>
  </si>
  <si>
    <t>RLT017 - Betrieb  Abluftventilator FU</t>
  </si>
  <si>
    <t>RLT017 - Lüftungsklappe Aussenluft ZU</t>
  </si>
  <si>
    <t>RLT017 - Lüftungsklappe Aussenluft AUF</t>
  </si>
  <si>
    <t>RLT017 - Lüftungsklappe Fortluft ZU</t>
  </si>
  <si>
    <t>RLT017 - Lüftungsklappe Fortluft AUF</t>
  </si>
  <si>
    <t>RLT017 - RepSchalter Zuluft Ventilator</t>
  </si>
  <si>
    <t>RLT017 - RepSchalter Abluft Ventilator</t>
  </si>
  <si>
    <t>RLT017 - Filterwächter Aussenluft</t>
  </si>
  <si>
    <t>RLT017 - Filterwächter Zuluft</t>
  </si>
  <si>
    <t>RLT017 - Filterwächter Abluft</t>
  </si>
  <si>
    <t>RLT017 - Luftstromüberwachung Zuluft</t>
  </si>
  <si>
    <t>RLT017 - Luftstromüberwachung Abluft</t>
  </si>
  <si>
    <t>RLT017 - Frostschutzwächter Zuluft</t>
  </si>
  <si>
    <t>RLT017 - Istwert Temperatur nach WRG</t>
  </si>
  <si>
    <t>RLT017 - Istwert Feuchte nach WRG</t>
  </si>
  <si>
    <t xml:space="preserve">ASP0303s - Schaltschrank Feld 4 Temp. </t>
  </si>
  <si>
    <t>ASP0303s - Störung Leckage</t>
  </si>
  <si>
    <t>ELT303 - Schaltbefehl Summenstörung</t>
  </si>
  <si>
    <t>RLT007 - Stellsignal WRG Klappe 1</t>
  </si>
  <si>
    <t>RLT007 - Stellsignal WRG Klappe 2</t>
  </si>
  <si>
    <t>RLT015 - Stellsignal WRG KLappe 3</t>
  </si>
  <si>
    <t>RLT015 - Stellsignal WRG KLappe 4</t>
  </si>
  <si>
    <t>RLT007 - Istwert Lüftungsklappe WRG 1</t>
  </si>
  <si>
    <t>RLT007 - Istwert Lüftungsklappe WRG 2</t>
  </si>
  <si>
    <t>RLT015 - Istwert Lüftungsklappe WRG 3</t>
  </si>
  <si>
    <t>RLT015 - Istwert Lüftungsklappe WRG 4</t>
  </si>
  <si>
    <t>RLT017 - Stellsignal WRG Klappe 1</t>
  </si>
  <si>
    <t>RLT017 - Stellsignal WRG Klappe 2</t>
  </si>
  <si>
    <t>RLT017 - Istwert Lüftungsklappe WRG 1</t>
  </si>
  <si>
    <t>RLT017 - Istwert Lüftungsklappe WRG 2</t>
  </si>
  <si>
    <t>RLT007 - WRG Vereisungsschutz</t>
  </si>
  <si>
    <t>RLT015 - WRG Vereisungsschutz</t>
  </si>
  <si>
    <t>RLT017 - WRG Vereisungsschutz</t>
  </si>
  <si>
    <t>255.255.252.0</t>
  </si>
  <si>
    <t>0,00 ohm</t>
  </si>
  <si>
    <t>Passwort: Admin123!</t>
  </si>
  <si>
    <t xml:space="preserve">Version: </t>
  </si>
  <si>
    <t>RTD-DI-16</t>
  </si>
  <si>
    <t>M3 RTD-DI-16</t>
  </si>
  <si>
    <t>2-Kabel RTD Temperatureingang</t>
  </si>
  <si>
    <t>RAV-205.RAV205.TRU001_MW</t>
  </si>
  <si>
    <t>RAV205 - Istwert Schaltschrank</t>
  </si>
  <si>
    <t>Modicon 1 - M172 - AI1</t>
  </si>
  <si>
    <t>Pt1000</t>
  </si>
  <si>
    <t>F2-104</t>
  </si>
  <si>
    <t>RAV-205.RAUD07.TZU001_MW</t>
  </si>
  <si>
    <t>D.-207 - Istwert Ausblastemperatur</t>
  </si>
  <si>
    <t>Modicon 1 - M172 - AI2</t>
  </si>
  <si>
    <t>F2-107</t>
  </si>
  <si>
    <t>RAV-205.RAUD07.TZU002_MW</t>
  </si>
  <si>
    <t>Modicon 1 - M172 - AI3</t>
  </si>
  <si>
    <t>F2-110</t>
  </si>
  <si>
    <t>RAV-205.RAUD07.TZU003_MW</t>
  </si>
  <si>
    <t>Modicon 1 - M172 - AI4</t>
  </si>
  <si>
    <t>F2-113</t>
  </si>
  <si>
    <t>RAV-205.RAUD07.TZU004_MW</t>
  </si>
  <si>
    <t>Modicon 1 - M172 - AI5</t>
  </si>
  <si>
    <t>F2-116</t>
  </si>
  <si>
    <t>RAV-205.RAUD10.TZU001_MW</t>
  </si>
  <si>
    <t>D.-210 - Istwert Ausblastemperatur</t>
  </si>
  <si>
    <t>Modicon 2 - M172 - AI1</t>
  </si>
  <si>
    <t>F2-123</t>
  </si>
  <si>
    <t>RAV-205.RAUD11.TZU001_MW</t>
  </si>
  <si>
    <t>D.-211 - Istwert Ausblastemperatur</t>
  </si>
  <si>
    <t>Modicon 2 - M172 - AI2</t>
  </si>
  <si>
    <t>F2-127</t>
  </si>
  <si>
    <t>RAV-205.RAUD11.TZU002_MW</t>
  </si>
  <si>
    <t>Modicon 2 - M172 - AI3</t>
  </si>
  <si>
    <t>150,00 °C</t>
  </si>
  <si>
    <t>F2-129</t>
  </si>
  <si>
    <t>RAV-205.RAUD12.TZU001_MW</t>
  </si>
  <si>
    <t>D.-212 - Istwert Ausblastemperatur</t>
  </si>
  <si>
    <t>Modicon 2 - M172 - AI4</t>
  </si>
  <si>
    <t>F2-132</t>
  </si>
  <si>
    <t>RAV-205.RAUD18.TZU001_MW</t>
  </si>
  <si>
    <t>D.-218 - Istwert Ausblastemperatur</t>
  </si>
  <si>
    <t>Modicon 2 - M172 - AI5</t>
  </si>
  <si>
    <t>30,00 °C</t>
  </si>
  <si>
    <t>F2-151</t>
  </si>
  <si>
    <t>RAV-205.RAUD13.TZU001_MW</t>
  </si>
  <si>
    <t>D.-213 - Istwert Ausblastemperatur</t>
  </si>
  <si>
    <t>Modicon 3 - M172 - AI1</t>
  </si>
  <si>
    <t>F2-137</t>
  </si>
  <si>
    <t>RAV-205.RAUD17.TZU001_MW</t>
  </si>
  <si>
    <t>D.-217 - Istwert Ausblastemperatur</t>
  </si>
  <si>
    <t>Modicon 3 - M172 - AI2</t>
  </si>
  <si>
    <t>F2-146</t>
  </si>
  <si>
    <t>RAV-205.RAUD20.TZU001_MW</t>
  </si>
  <si>
    <t>D.-220 - Istwert Ausblastemperatur</t>
  </si>
  <si>
    <t>Modicon 4 - M172 - AI1</t>
  </si>
  <si>
    <t>F2-155</t>
  </si>
  <si>
    <t>RAV-205.RAUD21.TZU001_MW</t>
  </si>
  <si>
    <t>D.-221 - Istwert Ausblastemperatur</t>
  </si>
  <si>
    <t>Modicon 4 - M172 - AI2</t>
  </si>
  <si>
    <t>F2-160</t>
  </si>
  <si>
    <t>RAV-205.RAUD27.TZU001_MW</t>
  </si>
  <si>
    <t>D.-227 - Istwert Ausblastemperatur</t>
  </si>
  <si>
    <t>Modicon 5 - M172 - AI1</t>
  </si>
  <si>
    <t>F3-172</t>
  </si>
  <si>
    <t>RAV-205.RAUD61.TZU001_MW</t>
  </si>
  <si>
    <t>D.-261 - Istwert Ausblastemperatur</t>
  </si>
  <si>
    <t>Modicon 6 - M172 - AI1</t>
  </si>
  <si>
    <t>F3-190</t>
  </si>
  <si>
    <t>M4 RTD-DI-16</t>
  </si>
  <si>
    <t>M4 RTD-DI-16_LeerInput_1?</t>
  </si>
  <si>
    <t>RAV-205.RAUD75.TZU001_MW</t>
  </si>
  <si>
    <t>D.-275 - Istwert Ausblastemperatur</t>
  </si>
  <si>
    <t>Modicon 7 - M172 - AI1</t>
  </si>
  <si>
    <t>F3-207</t>
  </si>
  <si>
    <t>RAV-205.RAUD88.TZU001_MW</t>
  </si>
  <si>
    <t>D.-288 - Istwert Ausblastemperatur</t>
  </si>
  <si>
    <t>Modicon 7 - M172 - AI2</t>
  </si>
  <si>
    <t>F3-214</t>
  </si>
  <si>
    <t>M4 RTD-DI-16_LeerInput_4?</t>
  </si>
  <si>
    <t>M4 RTD-DI-16_LeerInput_5?</t>
  </si>
  <si>
    <t>M4 RTD-DI-16_LeerInput_6?</t>
  </si>
  <si>
    <t>M4 RTD-DI-16_LeerInput_7?</t>
  </si>
  <si>
    <t>M4 RTD-DI-16_LeerInput_8?</t>
  </si>
  <si>
    <t>M4 RTD-DI-16_LeerInput_9?</t>
  </si>
  <si>
    <t>M4 RTD-DI-16_LeerInput_10?</t>
  </si>
  <si>
    <t>M4 RTD-DI-16_LeerInput_11?</t>
  </si>
  <si>
    <t>M4 RTD-DI-16_LeerInput_12?</t>
  </si>
  <si>
    <t>M4 RTD-DI-16_LeerInput_13?</t>
  </si>
  <si>
    <t>M4 RTD-DI-16_LeerInput_14?</t>
  </si>
  <si>
    <t>M4 RTD-DI-16_LeerInput_15?</t>
  </si>
  <si>
    <t>M4 RTD-DI-16_LeerInput_16?</t>
  </si>
  <si>
    <t>M5 UI-16</t>
  </si>
  <si>
    <t>RAV-205.RAUD11.VENh01_MW</t>
  </si>
  <si>
    <t>D.-211 - Istwert FCU Heizventil</t>
  </si>
  <si>
    <t>Modicon 2 - EAP1 - UI1</t>
  </si>
  <si>
    <t>F2-128</t>
  </si>
  <si>
    <t>RAV-205.RAUD11.VENh02_MW</t>
  </si>
  <si>
    <t>Modicon 2 - EAP1 - UI2</t>
  </si>
  <si>
    <t>F2-130</t>
  </si>
  <si>
    <t>D.-212 - Istwert FCU Heizventil</t>
  </si>
  <si>
    <t>Modicon 2 - EAP1 - UI4</t>
  </si>
  <si>
    <t>F2-134</t>
  </si>
  <si>
    <t>D.-218 - Istwert FCU Heizventil</t>
  </si>
  <si>
    <t>Modicon 2 - M172 - AI7</t>
  </si>
  <si>
    <t>F2-153</t>
  </si>
  <si>
    <t>M5 UI-16_LeerInput_5?</t>
  </si>
  <si>
    <t>D.-220 - Istwert FCU Heizventil</t>
  </si>
  <si>
    <t>Modicon 4 - EAP1 - UI1</t>
  </si>
  <si>
    <t>F2-157</t>
  </si>
  <si>
    <t>D.-221 - Istwert FCU Heizventil</t>
  </si>
  <si>
    <t>Modicon 4 - EAP1 - UI3</t>
  </si>
  <si>
    <t>F2-162</t>
  </si>
  <si>
    <t>D.-227 - Istwert FCU Heizventil</t>
  </si>
  <si>
    <t>Modicon 5 - EAP1 - UI1</t>
  </si>
  <si>
    <t>F3-174</t>
  </si>
  <si>
    <t>D.-275 - Istwert FCU Heizventil</t>
  </si>
  <si>
    <t>Modicon 7 - EAP1 - UI1</t>
  </si>
  <si>
    <t>F3-209</t>
  </si>
  <si>
    <t>D.-288 - Istwert FCU Heizventil</t>
  </si>
  <si>
    <t>Modicon 7 - EAP1 - UI3</t>
  </si>
  <si>
    <t>F3-216</t>
  </si>
  <si>
    <t>RAV-205.RAUD10.VENk01_MW</t>
  </si>
  <si>
    <t>D.-210 - Istwert FCU Kälteventil</t>
  </si>
  <si>
    <t>Modicon 2 - EAP1 - UI0</t>
  </si>
  <si>
    <t>F2-124</t>
  </si>
  <si>
    <t>RAV-205.RAUD12.VENk01_MW</t>
  </si>
  <si>
    <t>D.-212 - Istwert FCU Kälteventil</t>
  </si>
  <si>
    <t>Modicon 2 - EAP1 - UI3</t>
  </si>
  <si>
    <t>F2-133</t>
  </si>
  <si>
    <t>RAV-205.RAUD18.VENk01_MW</t>
  </si>
  <si>
    <t>D.-218 - Istwert FCU Kälteventil</t>
  </si>
  <si>
    <t>Modicon 2 - EAP1 - UI5</t>
  </si>
  <si>
    <t>F2-152</t>
  </si>
  <si>
    <t>RAV-205.RAUD13.VENk01_MW</t>
  </si>
  <si>
    <t>D.-213 - Istwert FCU Kälteventil</t>
  </si>
  <si>
    <t>Modicon 3 - EAP1 - UI0</t>
  </si>
  <si>
    <t>F2-138</t>
  </si>
  <si>
    <t>RAV-205.RAUD20.VENk01_MW</t>
  </si>
  <si>
    <t>D.-220 - Istwert FCU Kälteventil</t>
  </si>
  <si>
    <t>Modicon 4 - EAP1 - UI0</t>
  </si>
  <si>
    <t>F2-156</t>
  </si>
  <si>
    <t>RAV-205.RAUD21.VENk01_MW</t>
  </si>
  <si>
    <t>D.-221 - Istwert FCU Kälteventil</t>
  </si>
  <si>
    <t>Modicon 4 - EAP1 - UI2</t>
  </si>
  <si>
    <t>F2-161</t>
  </si>
  <si>
    <t>M6 UI-16</t>
  </si>
  <si>
    <t>RAV-205.RAUD27.VENk01_MW</t>
  </si>
  <si>
    <t>D.-227 - Istwert FCU Kälteventil</t>
  </si>
  <si>
    <t>Modicon 5 - EAP1 - UI0</t>
  </si>
  <si>
    <t>F3-173</t>
  </si>
  <si>
    <t>RAV-205.RAUD61.VENk01_MW</t>
  </si>
  <si>
    <t>D.-261 - Istwert FCU Kälteventil</t>
  </si>
  <si>
    <t>Modicon 6 - EAP1 - UI0</t>
  </si>
  <si>
    <t>F3-191</t>
  </si>
  <si>
    <t>RAV-205.RAUD61.VENk02_MW</t>
  </si>
  <si>
    <t>Modicon 6 - EAP1 - UI1</t>
  </si>
  <si>
    <t>F3-192</t>
  </si>
  <si>
    <t>RAV-205.RAUD75.VENk01_MW</t>
  </si>
  <si>
    <t>D.-275 - Istwert FCU Kälteventil</t>
  </si>
  <si>
    <t>Modicon 7 - EAP1 - UI0</t>
  </si>
  <si>
    <t>F3-208</t>
  </si>
  <si>
    <t>RAV-205.RAUD88.VENk01_MW</t>
  </si>
  <si>
    <t>D.-288 - Istwert FCU Kälteventil</t>
  </si>
  <si>
    <t>Modicon 7 - EAP1 - UI2</t>
  </si>
  <si>
    <t>F3-215</t>
  </si>
  <si>
    <t>RAV-205.RAUD07.VENu01_MW</t>
  </si>
  <si>
    <t>D.-207 - Istwert HZG/KLG Ventil</t>
  </si>
  <si>
    <t>Modicon 1 - EAP1 - UI0</t>
  </si>
  <si>
    <t>F2-108</t>
  </si>
  <si>
    <t>RAV-205.RAUD07.VENu02_MW</t>
  </si>
  <si>
    <t>Modicon 1 - EAP1 - UI2</t>
  </si>
  <si>
    <t>F2-111</t>
  </si>
  <si>
    <t>RAV-205.RAUD07.VENu03_MW</t>
  </si>
  <si>
    <t>Modicon 1 - EAP1 - UI4</t>
  </si>
  <si>
    <t>F2-114</t>
  </si>
  <si>
    <t>RAV-205.RAUD07.VENu04_MW</t>
  </si>
  <si>
    <t>Modicon 1 - EAP2 - UI0</t>
  </si>
  <si>
    <t>F2-117</t>
  </si>
  <si>
    <t>RAV-205.RAUD17.VENu01_MW</t>
  </si>
  <si>
    <t>D.-217 - Istwert FCU Ventil</t>
  </si>
  <si>
    <t>Modicon 3 - EAP1 - UI1</t>
  </si>
  <si>
    <t>F2-147</t>
  </si>
  <si>
    <t>RAV-205.RAUD27.TML001_MW</t>
  </si>
  <si>
    <t>D.-227 - Istwert VOC</t>
  </si>
  <si>
    <t>Modicon 5 - M172 - AI4</t>
  </si>
  <si>
    <t>F3-177</t>
  </si>
  <si>
    <t>RAV-205.RAUD72.LQF001_MW</t>
  </si>
  <si>
    <t>D.-272 - Istwert VOC</t>
  </si>
  <si>
    <t>Modicon 6 - M172 - AI8</t>
  </si>
  <si>
    <t>F3-204</t>
  </si>
  <si>
    <t>RAV-205.RAUD75.TML001_MW</t>
  </si>
  <si>
    <t>D.-275 - Istwert VOC</t>
  </si>
  <si>
    <t>Modicon 7 - M172 - AI4</t>
  </si>
  <si>
    <t>F3-212</t>
  </si>
  <si>
    <t>RAV-205.RAUD88.TML001_MW</t>
  </si>
  <si>
    <t>D.-288 - Istwert VOC</t>
  </si>
  <si>
    <t>Modicon 7 - M172 - AI8</t>
  </si>
  <si>
    <t>F3-219</t>
  </si>
  <si>
    <t>M7 UI-16</t>
  </si>
  <si>
    <t>RAV-205.RAUD07.VVR001_MW</t>
  </si>
  <si>
    <t>D.-207 - Istwert ZUL VVR</t>
  </si>
  <si>
    <t>Modicon 1 - EAP2 - UI2</t>
  </si>
  <si>
    <t>0,00 m³/h</t>
  </si>
  <si>
    <t>2 120,00 m³/h</t>
  </si>
  <si>
    <t>F2-119</t>
  </si>
  <si>
    <t>RAV-205.RAUD07.VVR003_MW</t>
  </si>
  <si>
    <t>Modicon 1 - EAP2 - UI4</t>
  </si>
  <si>
    <t>F2-120</t>
  </si>
  <si>
    <t>RAV-205.RAUD09.VVR001_MW</t>
  </si>
  <si>
    <t>D.-209 - Istwert ZUL VVR</t>
  </si>
  <si>
    <t>Modicon 1 - M172 - AI8</t>
  </si>
  <si>
    <t>340,00 m³/h</t>
  </si>
  <si>
    <t>F2-121</t>
  </si>
  <si>
    <t>RAV-205.RAUD13.VVR001_MW</t>
  </si>
  <si>
    <t>D.-213 - Istwert ZUL VVR</t>
  </si>
  <si>
    <t>Modicon 3 - M172 - AI4</t>
  </si>
  <si>
    <t>100,00 m³/h</t>
  </si>
  <si>
    <t>F2-139</t>
  </si>
  <si>
    <t>RAV-205.RAUD17.VVR001_MW</t>
  </si>
  <si>
    <t>D.-217 - Istwert ZUL VVR</t>
  </si>
  <si>
    <t>Modicon 3 - M172 - AI5</t>
  </si>
  <si>
    <t>870,00 m³/h</t>
  </si>
  <si>
    <t>F2-149</t>
  </si>
  <si>
    <t>RAV-205.RAUD21.VVR001_MW</t>
  </si>
  <si>
    <t>D.-221 - Istwert ZUL VVR</t>
  </si>
  <si>
    <t>Modicon 4 - M172 - AI3</t>
  </si>
  <si>
    <t>1 330,00 m³/h</t>
  </si>
  <si>
    <t>F2-164</t>
  </si>
  <si>
    <t>RAV-205.RAUD33.VVR001_MW</t>
  </si>
  <si>
    <t>D.-233 - Istwert ZUL VVR</t>
  </si>
  <si>
    <t>Modicon 5 - M172 - AI5</t>
  </si>
  <si>
    <t>4 300,00 m³/h</t>
  </si>
  <si>
    <t>F3-182</t>
  </si>
  <si>
    <t>RAV-205.RAUD27.VVR001_MW</t>
  </si>
  <si>
    <t>D.-227 - Istwert ZUL VVR</t>
  </si>
  <si>
    <t>Modicon 5 - M172 - AI7</t>
  </si>
  <si>
    <t>F3-176</t>
  </si>
  <si>
    <t>RAV-205.RAUD74.VVR001_MW</t>
  </si>
  <si>
    <t>D.-274 - Istwert ZUL VVR</t>
  </si>
  <si>
    <t>Modicon 6 - EAP1 - UI2</t>
  </si>
  <si>
    <t>-217,50 m³/h</t>
  </si>
  <si>
    <t>F3-205 -prüfen AI3???</t>
  </si>
  <si>
    <t>RAV-205.RAUD72.VVR001_MW</t>
  </si>
  <si>
    <t>D.-272 - Istwert ZUL VVR</t>
  </si>
  <si>
    <t>Modicon 6 - M172 - AI6</t>
  </si>
  <si>
    <t>1 360,00 m³/h</t>
  </si>
  <si>
    <t>F3-203</t>
  </si>
  <si>
    <t>RAV-205.RAUD75.VVR001_MW</t>
  </si>
  <si>
    <t>D.-275 - Istwert ZUL VVR</t>
  </si>
  <si>
    <t>Modicon 7 - M172 - AI5</t>
  </si>
  <si>
    <t>3 500,00 m³/h</t>
  </si>
  <si>
    <t>F3-211</t>
  </si>
  <si>
    <t>RAV-205.RAUD88.VVR001_MW</t>
  </si>
  <si>
    <t>D.-288 - Istwert ZUL VVR</t>
  </si>
  <si>
    <t>Modicon 7 - M172 - AI6</t>
  </si>
  <si>
    <t>F3-218</t>
  </si>
  <si>
    <t>RAV-205.RAUD05.MAB001_F_MW</t>
  </si>
  <si>
    <t>D.-205 - Istwert Abluftfeuchte</t>
  </si>
  <si>
    <t>Modicon 6 - M172 - AI3</t>
  </si>
  <si>
    <t>F3-194</t>
  </si>
  <si>
    <t>RAV-205.RAUD85.MAB001_F_MW</t>
  </si>
  <si>
    <t>D.-285 - Istwert Abluftfeuchte</t>
  </si>
  <si>
    <t>Modicon 7 - M172 - AI9</t>
  </si>
  <si>
    <t>F3-223</t>
  </si>
  <si>
    <t>RAV-205.RAUD05.MAB001_T_MW</t>
  </si>
  <si>
    <t>D.-205 - Istwert Ablufttemperatur</t>
  </si>
  <si>
    <t>Modicon 6 - M172 - AI4</t>
  </si>
  <si>
    <t>RAV-205.RAUD85.MAB001_T_MW</t>
  </si>
  <si>
    <t>D.-285 - Istwert Ablufttemperatur</t>
  </si>
  <si>
    <t>Modicon 7 - M172 - AI10</t>
  </si>
  <si>
    <t>M8 UI-16</t>
  </si>
  <si>
    <t xml:space="preserve"> UI-16</t>
  </si>
  <si>
    <t>RAV-205.RAUD07.VVR002_MW</t>
  </si>
  <si>
    <t>D.-207 - Istwert ABL VVR</t>
  </si>
  <si>
    <t>Modicon 1 - EAP2 - UI3</t>
  </si>
  <si>
    <t>RAV-205.RAUD07.VVR004_MW</t>
  </si>
  <si>
    <t>Modicon 1 - EAP2 - UI5</t>
  </si>
  <si>
    <t>RAV-205.RAUD09.VVR002_MW</t>
  </si>
  <si>
    <t>D.-209 - Istwert ABL VVR</t>
  </si>
  <si>
    <t>Modicon 1 - M172 - AI7</t>
  </si>
  <si>
    <t>RAV-205.RAUD13.VVR002_MW</t>
  </si>
  <si>
    <t>D.-213 - Istwert ABL VVR</t>
  </si>
  <si>
    <t>Modicon 3 - M172 - AI3</t>
  </si>
  <si>
    <t>RAV-205.RAUD17.VVR002_MW</t>
  </si>
  <si>
    <t>D.-217 - Istwert ABL VVR</t>
  </si>
  <si>
    <t>Modicon 3 - M172 - AI6</t>
  </si>
  <si>
    <t>RAV-205.RAUD21.VVR002_MW</t>
  </si>
  <si>
    <t>D.-221 - Istwert ABL VVR</t>
  </si>
  <si>
    <t>Modicon 4 - M172 - AI4</t>
  </si>
  <si>
    <t>RAV-205.RAUD27.VVR002_MW</t>
  </si>
  <si>
    <t>D.-227 - Istwert ABL VVR</t>
  </si>
  <si>
    <t>Modicon 5 - M172 - AI3</t>
  </si>
  <si>
    <t>RAV-205.RAUD33.VVR002_MW</t>
  </si>
  <si>
    <t>D.-233 - Istwert ABL VVR</t>
  </si>
  <si>
    <t>Modicon 5 - M172 - AI6</t>
  </si>
  <si>
    <t>RAV-205.RAUD05.VVR002_MW</t>
  </si>
  <si>
    <t>D.-205 - Istwert ABL VVR</t>
  </si>
  <si>
    <t>Modicon 6 - M172 - AI5</t>
  </si>
  <si>
    <t>F3-196</t>
  </si>
  <si>
    <t>RAV-205.RAUD72.VVR002_MW</t>
  </si>
  <si>
    <t>D.-272 - Istwert ABL VVR</t>
  </si>
  <si>
    <t>Modicon 6 - M172 - AI7</t>
  </si>
  <si>
    <t>RAV-205.RAUD85.VVR002_MW</t>
  </si>
  <si>
    <t>D.-285 - Istwert ABL VVR</t>
  </si>
  <si>
    <t>Modicon 7 - EAP1 - UI4</t>
  </si>
  <si>
    <t>F3-222</t>
  </si>
  <si>
    <t>RAV-205.RAUD75.VVR002_MW</t>
  </si>
  <si>
    <t>D.-275 - Istwert ABL VVR</t>
  </si>
  <si>
    <t>Modicon 7 - M172 - AI3</t>
  </si>
  <si>
    <t>1 700,00 m³/h</t>
  </si>
  <si>
    <t>RAV-205.RAUD88.VVR002_MW</t>
  </si>
  <si>
    <t>D.-288 - Istwert ABL VVR</t>
  </si>
  <si>
    <t>Modicon 7 - M172 - AI7</t>
  </si>
  <si>
    <t>RAV-205.RAUD07.VEN101_MW</t>
  </si>
  <si>
    <t>D.-207 - Istwert 6-Wege Ventil</t>
  </si>
  <si>
    <t>M8 UI-16_LeerInput_15?</t>
  </si>
  <si>
    <t>M8 UI-16_LeerInput_16?</t>
  </si>
  <si>
    <t>M9 AO-V-8</t>
  </si>
  <si>
    <t>RAV-205.RAUD07.UMV001_YB</t>
  </si>
  <si>
    <t>D.-207 - Signal FCU</t>
  </si>
  <si>
    <t>Modicon 1 - M172 - AO1</t>
  </si>
  <si>
    <t>F2-14</t>
  </si>
  <si>
    <t>RAV-205.RAUD07.UMV002_YB</t>
  </si>
  <si>
    <t>Modicon 1 - M172 - AO2</t>
  </si>
  <si>
    <t>F2-15</t>
  </si>
  <si>
    <t>RAV-205.RAUD07.UMV003_YB</t>
  </si>
  <si>
    <t>Modicon 1 - M172 - AO3</t>
  </si>
  <si>
    <t>F2-16</t>
  </si>
  <si>
    <t>RAV-205.RAUD07.UMV004_YB</t>
  </si>
  <si>
    <t>Modicon 1 - M172 - AO4</t>
  </si>
  <si>
    <t>F2-17</t>
  </si>
  <si>
    <t>RAV-205.RAUD09.VVR001_YB</t>
  </si>
  <si>
    <t>D.-209 - Signal ZUL VVR</t>
  </si>
  <si>
    <t>Modicon 1 - M172 - AO5</t>
  </si>
  <si>
    <t>40,00 m³/h</t>
  </si>
  <si>
    <t>80,00 m³/h</t>
  </si>
  <si>
    <t>RAV-205.RAUD09.VVR002_YB</t>
  </si>
  <si>
    <t>D.-209 - Signal ABL VVR</t>
  </si>
  <si>
    <t>Modicon 1 - M172 - AO6</t>
  </si>
  <si>
    <t>RAV-205.RAUD07.VENu01_YB</t>
  </si>
  <si>
    <t>D.-207 - Signal HZG/KLG Ventil</t>
  </si>
  <si>
    <t>Modicon 1 - EAP1 - UO0</t>
  </si>
  <si>
    <t>RAV-205.RAUD07.VEN101_YB</t>
  </si>
  <si>
    <t>D.-207 - Signal 6-Wege Ventil</t>
  </si>
  <si>
    <t>Modicon 1 - EAP1 - UO1</t>
  </si>
  <si>
    <t>F2-109</t>
  </si>
  <si>
    <t>M10 AO-V-8</t>
  </si>
  <si>
    <t>RAV-205.RAUD07.VENu02_YB</t>
  </si>
  <si>
    <t>Modicon 1 - EAP1 - UO2</t>
  </si>
  <si>
    <t>RAV-205.RAUD07.VENu03_YB</t>
  </si>
  <si>
    <t>Modicon 1 - EAP1 - UO4</t>
  </si>
  <si>
    <t>RAV-205.RAUD07.VENu04_YB</t>
  </si>
  <si>
    <t>Modicon 1 - EAP2 - UO0</t>
  </si>
  <si>
    <t>RAV-205.RAUD07.VVR001_YB</t>
  </si>
  <si>
    <t>D.-207 - Signal ZUL VVR</t>
  </si>
  <si>
    <t>Modicon 1 - EAP2 - UO2</t>
  </si>
  <si>
    <t>425,00 m³/h</t>
  </si>
  <si>
    <t>850,00 m³/h</t>
  </si>
  <si>
    <t>600,00 m³/h</t>
  </si>
  <si>
    <t>RAV-205.RAUD07.VVR002_YB</t>
  </si>
  <si>
    <t>D.-207 - Signal ABL VVR</t>
  </si>
  <si>
    <t>Modicon 1 - EAP2 - UO3</t>
  </si>
  <si>
    <t>825,00 m³/h</t>
  </si>
  <si>
    <t>RAV-205.RAUD07.VVR003_YB</t>
  </si>
  <si>
    <t>Modicon 1 - EAP2 - UO4</t>
  </si>
  <si>
    <t>RAV-205.RAUD07.VVR004_YB</t>
  </si>
  <si>
    <t>Modicon 1 - EAP2 - UO5</t>
  </si>
  <si>
    <t>Spannungsausgang_8</t>
  </si>
  <si>
    <t xml:space="preserve">Spannungsausgang_8 - </t>
  </si>
  <si>
    <t>M11 AO-V-8</t>
  </si>
  <si>
    <t>RAV-205.RAUD10.UMV001_YB</t>
  </si>
  <si>
    <t>D.-210 - Signal FCU</t>
  </si>
  <si>
    <t>Modicon 2 - M172 - AO1</t>
  </si>
  <si>
    <t>F1-18</t>
  </si>
  <si>
    <t>RAV-205.RAUD11.UMVh01_YB</t>
  </si>
  <si>
    <t>D.-211 - Signal FCU</t>
  </si>
  <si>
    <t>Modicon 2 - M172 - AO2</t>
  </si>
  <si>
    <t>F1-20</t>
  </si>
  <si>
    <t>RAV-205.RAUD11.UMVh02_YB</t>
  </si>
  <si>
    <t>Modicon 2 - M172 - AO3</t>
  </si>
  <si>
    <t>F1-21</t>
  </si>
  <si>
    <t>RAV-205.RAUD12.UMV001_YB</t>
  </si>
  <si>
    <t>D.-212 - Signal FCU</t>
  </si>
  <si>
    <t>Modicon 2 - M172 - AO4</t>
  </si>
  <si>
    <t>RAV-205.RAUD18.UMV001_YB</t>
  </si>
  <si>
    <t>D.-218 - Signal FCU</t>
  </si>
  <si>
    <t>Modicon 2 - M172 - AO5</t>
  </si>
  <si>
    <t>F1-26</t>
  </si>
  <si>
    <t>Modicon 2 - M172 - AO6</t>
  </si>
  <si>
    <t>RAV-205.RAUD10.VENk01_YB</t>
  </si>
  <si>
    <t>D.-210 - Signal FCU Kälteventil</t>
  </si>
  <si>
    <t>Modicon 2 - EAP1 - UO0</t>
  </si>
  <si>
    <t>RAV-205.RAUD11.VENh01_YB</t>
  </si>
  <si>
    <t>D.-211 - Signal FCU Heizventil</t>
  </si>
  <si>
    <t>Modicon 2 - EAP1 - UO1</t>
  </si>
  <si>
    <t>M12 AO-V-8</t>
  </si>
  <si>
    <t>RAV-205.RAUD11.VENh02_YB</t>
  </si>
  <si>
    <t>Modicon 2 - EAP1 - UO2</t>
  </si>
  <si>
    <t>RAV-205.RAUD12.VENk01_YB</t>
  </si>
  <si>
    <t>D.-212 - Signal FCU Kälteventil</t>
  </si>
  <si>
    <t>Modicon 2 - EAP1 - UO3</t>
  </si>
  <si>
    <t>D.-212 - Signal FCU Heizventil</t>
  </si>
  <si>
    <t>Modicon 2 - EAP1 - UO4</t>
  </si>
  <si>
    <t>RAV-205.RAUD18.VENk01_YB</t>
  </si>
  <si>
    <t>D.-218 - Signal FCU Kälteventil</t>
  </si>
  <si>
    <t>Modicon 2 - EAP1 - UO5</t>
  </si>
  <si>
    <t>M12 AO-V-8_LeerOutput_5?</t>
  </si>
  <si>
    <t>RAV-205.RAUD88.VENk01_YB</t>
  </si>
  <si>
    <t>D.-288 - Signal FCU Kälteventil</t>
  </si>
  <si>
    <t>Modicon 7 - EAP1 - UO2</t>
  </si>
  <si>
    <t>D.-288 - Signal FCU Heizventil</t>
  </si>
  <si>
    <t>Modicon 7 - EAP1 - UO3</t>
  </si>
  <si>
    <t>RAV-205.RAUD85.VVR002_YB</t>
  </si>
  <si>
    <t>D.-285 - Signal ABL VVR</t>
  </si>
  <si>
    <t>Modicon 7 - EAP1 - UO4</t>
  </si>
  <si>
    <t>285,00 m³/h</t>
  </si>
  <si>
    <t>570,00 m³/h</t>
  </si>
  <si>
    <t>M14 AO-V-8</t>
  </si>
  <si>
    <t>RAV-205.RAUD13.UMV001_YB</t>
  </si>
  <si>
    <t>D.-213 - Signal FCU</t>
  </si>
  <si>
    <t>Modicon 3 - M172 - AO1</t>
  </si>
  <si>
    <t>F1-22</t>
  </si>
  <si>
    <t>RAV-205.RAUD13.VVR001_YB</t>
  </si>
  <si>
    <t>D.-213 - Signal ZUL VVR</t>
  </si>
  <si>
    <t>Modicon 3 - M172 - AO2</t>
  </si>
  <si>
    <t>RAV-205.RAUD13.VVR002_YB</t>
  </si>
  <si>
    <t>D.-213 - Signal ABL VVR</t>
  </si>
  <si>
    <t>Modicon 3 - M172 - AO3</t>
  </si>
  <si>
    <t>RAV-205.RAUD17.UMV001_YB</t>
  </si>
  <si>
    <t>D.-217 - Signal FCU</t>
  </si>
  <si>
    <t>Modicon 3 - M172 - AO4</t>
  </si>
  <si>
    <t>F1-25</t>
  </si>
  <si>
    <t>RAV-205.RAUD17.VVR001_YB</t>
  </si>
  <si>
    <t>D.-217 - Signal ZUL VVR</t>
  </si>
  <si>
    <t>Modicon 3 - M172 - AO5</t>
  </si>
  <si>
    <t>200,00 m³/h</t>
  </si>
  <si>
    <t>400,00 m³/h</t>
  </si>
  <si>
    <t>RAV-205.RAUD17.VVR002_YB</t>
  </si>
  <si>
    <t>D.-217 - Signal ABL VVR</t>
  </si>
  <si>
    <t>Modicon 3 - M172 - AO6</t>
  </si>
  <si>
    <t>RAV-205.RAUD13.VENk01_YB</t>
  </si>
  <si>
    <t>D.-213 - Signal FCU Kälteventil</t>
  </si>
  <si>
    <t>Modicon 3 - EAP1 - UO0</t>
  </si>
  <si>
    <t>RAV-205.RAUD17.VENu01_YB</t>
  </si>
  <si>
    <t>D.-217 - Signal FCU Ventil</t>
  </si>
  <si>
    <t>Modicon 3 - EAP1 - UO1</t>
  </si>
  <si>
    <t>M15 AO-V-8</t>
  </si>
  <si>
    <t>RAV-205.RAUD20.UMV001_YB</t>
  </si>
  <si>
    <t>D.-220 - Signal FCU</t>
  </si>
  <si>
    <t>Modicon 4 - M172 - AO1</t>
  </si>
  <si>
    <t>F1-27</t>
  </si>
  <si>
    <t>RAV-205.RAUD21.UMV001_YB</t>
  </si>
  <si>
    <t>D.-221 - Signal FCU</t>
  </si>
  <si>
    <t>Modicon 4 - M172 - AO2</t>
  </si>
  <si>
    <t>F1-28</t>
  </si>
  <si>
    <t>RAV-205.RAUD21.VVR001_YB</t>
  </si>
  <si>
    <t>D.-221 - Signal ZUL VVR</t>
  </si>
  <si>
    <t>Modicon 4 - M172 - AO3</t>
  </si>
  <si>
    <t>205,00 m³/h</t>
  </si>
  <si>
    <t>410,00 m³/h</t>
  </si>
  <si>
    <t>RAV-205.RAUD21.VVR002_YB</t>
  </si>
  <si>
    <t>D.-221 - Signal ABL VVR</t>
  </si>
  <si>
    <t>Modicon 4 - M172 - AO4</t>
  </si>
  <si>
    <t>RAV-205.RAUD20.VENk01_YB</t>
  </si>
  <si>
    <t>D.-220 - Signal FCU Kälteventil</t>
  </si>
  <si>
    <t>Modicon 4 - EAP1 - UO0</t>
  </si>
  <si>
    <t>D.-220 - Signal FCU Heizventil</t>
  </si>
  <si>
    <t>Modicon 4 - EAP1 - UO1</t>
  </si>
  <si>
    <t>RAV-205.RAUD21.VENk01_YB</t>
  </si>
  <si>
    <t>D.-221 - Signal FCU Kälteventil</t>
  </si>
  <si>
    <t>Modicon 4 - EAP1 - UO2</t>
  </si>
  <si>
    <t>D.-221 - Signal FCU Heizventil</t>
  </si>
  <si>
    <t>Modicon 4 - EAP1 - UO3</t>
  </si>
  <si>
    <t>M16 AO-V-8</t>
  </si>
  <si>
    <t>RAV-205.RAUD27.UMV001_YB</t>
  </si>
  <si>
    <t>D.-227 - Signal FCU</t>
  </si>
  <si>
    <t>Modicon 5 - M172 - AO1</t>
  </si>
  <si>
    <t>F1-30</t>
  </si>
  <si>
    <t>RAV-205.RAUD27.VVR001_YB</t>
  </si>
  <si>
    <t>D.-227 - Signal ZUL VVR</t>
  </si>
  <si>
    <t>Modicon 5 - M172 - AO2</t>
  </si>
  <si>
    <t>350,00 m³/h</t>
  </si>
  <si>
    <t>350,41 m³/h</t>
  </si>
  <si>
    <t>RAV-205.RAUD27.VVR002_YB</t>
  </si>
  <si>
    <t>D.-227 - Signal ABL VVR</t>
  </si>
  <si>
    <t>Modicon 5 - M172 - AO3</t>
  </si>
  <si>
    <t>90,00 m³/h</t>
  </si>
  <si>
    <t>RAV-205.RAUD33.VVR001_YB</t>
  </si>
  <si>
    <t>D.-233 - Signal ZUL VVR</t>
  </si>
  <si>
    <t>Modicon 5 - M172 - AO4</t>
  </si>
  <si>
    <t>735,00 m³/h</t>
  </si>
  <si>
    <t>1 470,00 m³/h</t>
  </si>
  <si>
    <t>RAV-205.RAUD33.VVR002_YB</t>
  </si>
  <si>
    <t>D.-2333 - Signal ABL VVR</t>
  </si>
  <si>
    <t>Modicon 5 - M172 - AO5</t>
  </si>
  <si>
    <t>605,00 m³/h</t>
  </si>
  <si>
    <t>1 340,00 m³/h</t>
  </si>
  <si>
    <t>1 338,25 m³/h</t>
  </si>
  <si>
    <t>RAV-205.RAUD27.VENk01_YB</t>
  </si>
  <si>
    <t>D.-227 - Signal FCU Kälteventil</t>
  </si>
  <si>
    <t>Modicon 5 - EAP1 - UO0</t>
  </si>
  <si>
    <t>D.-227 - Signal FCU Heizventil</t>
  </si>
  <si>
    <t>Modicon 5 - EAP1 - UO1</t>
  </si>
  <si>
    <t>Spannungsausgang_3</t>
  </si>
  <si>
    <t xml:space="preserve">Spannungsausgang_3 - </t>
  </si>
  <si>
    <t>M17 AO-V-8</t>
  </si>
  <si>
    <t>D.-261 - Signal FCU</t>
  </si>
  <si>
    <t>Modicon 6 - M172 - AO1</t>
  </si>
  <si>
    <t>F1-31</t>
  </si>
  <si>
    <t>Modicon 6 - M172 - AO2</t>
  </si>
  <si>
    <t>F1-32</t>
  </si>
  <si>
    <t>RAV-205.RAUD05.VVR002_YB</t>
  </si>
  <si>
    <t>D.-205 - Signal ABL VVR</t>
  </si>
  <si>
    <t>Modicon 6 - M172 - AO3</t>
  </si>
  <si>
    <t>RAV-205.RAUD72.VVR001_YB</t>
  </si>
  <si>
    <t>D.-272 - Signal ZUL VVR</t>
  </si>
  <si>
    <t>Modicon 6 - M172 - AO4</t>
  </si>
  <si>
    <t>235,00 m³/h</t>
  </si>
  <si>
    <t>470,00 m³/h</t>
  </si>
  <si>
    <t>RAV-205.RAUD72.VVR002_YB</t>
  </si>
  <si>
    <t>D.-272 - Signal ABL VVR</t>
  </si>
  <si>
    <t>Modicon 6 - M172 - AO5</t>
  </si>
  <si>
    <t>RAV-205.RAUD61.VENk01_YB</t>
  </si>
  <si>
    <t>D.-261 - Signal FCU Kälteventil</t>
  </si>
  <si>
    <t>Modicon 6 - EAP1 - UO0</t>
  </si>
  <si>
    <t>RAV-205.RAUD61.VENk02_YB</t>
  </si>
  <si>
    <t>Modicon 6 - EAP1 - UO1</t>
  </si>
  <si>
    <t>RAV-205.RAUD74.VVR001_YB</t>
  </si>
  <si>
    <t>D.-274 - Signal ZUL VVR</t>
  </si>
  <si>
    <t>Modicon 6 - EAP1 - UO2</t>
  </si>
  <si>
    <t>190,00 m³/h</t>
  </si>
  <si>
    <t>380,00 m³/h</t>
  </si>
  <si>
    <t>379,69 m³/h</t>
  </si>
  <si>
    <t>F3-205- prüfen AO3???</t>
  </si>
  <si>
    <t>M18 AO-V-8</t>
  </si>
  <si>
    <t>RAV-205.RAUD75.UMV001_YB</t>
  </si>
  <si>
    <t>D.-275 - Signal FCU</t>
  </si>
  <si>
    <t>Modicon 7 - M172 - AO1</t>
  </si>
  <si>
    <t>F1-33</t>
  </si>
  <si>
    <t>RAV-205.RAUD75.VVR001_YB</t>
  </si>
  <si>
    <t>D.-275 - Signal ZUL VVR</t>
  </si>
  <si>
    <t>Modicon 7 - M172 - AO2</t>
  </si>
  <si>
    <t>645,00 m³/h</t>
  </si>
  <si>
    <t>1 290,00 m³/h</t>
  </si>
  <si>
    <t>RAV-205.RAUD75.VVR002_YB</t>
  </si>
  <si>
    <t>D.-275 - Signal ABL VVR</t>
  </si>
  <si>
    <t>Modicon 7 - M172 - AO3</t>
  </si>
  <si>
    <t>385,00 m³/h</t>
  </si>
  <si>
    <t>770,00 m³/h</t>
  </si>
  <si>
    <t>RAV-205.RAUD88.UMV001_YB</t>
  </si>
  <si>
    <t>D.-288 - Signal FCU</t>
  </si>
  <si>
    <t>Modicon 7 - M172 - AO4</t>
  </si>
  <si>
    <t>F1-34</t>
  </si>
  <si>
    <t>RAV-205.RAUD88.VVR001_YB</t>
  </si>
  <si>
    <t>D.-288 - Signal ZUL VVR</t>
  </si>
  <si>
    <t>Modicon 7 - M172 - AO5</t>
  </si>
  <si>
    <t>RAV-205.RAUD88.VVR002_YB</t>
  </si>
  <si>
    <t>D.-288 - Signal ABL VVR</t>
  </si>
  <si>
    <t>Modicon 7 - M172 - AO6</t>
  </si>
  <si>
    <t>125,00 m³/h</t>
  </si>
  <si>
    <t>RAV-205.RAUD75.VENk01_YB</t>
  </si>
  <si>
    <t>D.-275 - Signal FCU Kälteventil</t>
  </si>
  <si>
    <t>Modicon 7 - EAP1 - UO0</t>
  </si>
  <si>
    <t>D.-275 - Signal FCU Heizventil</t>
  </si>
  <si>
    <t>Modicon 7 - EAP1 - UO1</t>
  </si>
  <si>
    <t>M19 DI-16</t>
  </si>
  <si>
    <t>RAV-205.RAV205.ASV002_SM</t>
  </si>
  <si>
    <t>RAV205 - Störung Überspannungschutz</t>
  </si>
  <si>
    <t>Modicon 1 - M172 - DI1</t>
  </si>
  <si>
    <t>F1-2</t>
  </si>
  <si>
    <t>RAV-205.RAV205.ASV003_SM</t>
  </si>
  <si>
    <t>RAV205 - Störung Hilfspannungsüberwachung</t>
  </si>
  <si>
    <t>Modicon 1 - M172 - DI2</t>
  </si>
  <si>
    <t>F1-8</t>
  </si>
  <si>
    <t>RAV-205.RAV205.ASV004_SM</t>
  </si>
  <si>
    <t>RAV205 - Störung Asymmetrierelais</t>
  </si>
  <si>
    <t>Modicon 1 - M172 - DI3</t>
  </si>
  <si>
    <t>F1-9</t>
  </si>
  <si>
    <t>RAV-205.RAV205.ASV001_QUT_BM</t>
  </si>
  <si>
    <t>RAV205 - Betriebsmeldung Fernresettraster</t>
  </si>
  <si>
    <t>Modicon 1 - M172 - DI4</t>
  </si>
  <si>
    <t>F1-10</t>
  </si>
  <si>
    <t>RAV-205.RAV205.LCK001_SM</t>
  </si>
  <si>
    <t>RAV205 - Störung Leckageüberwachung</t>
  </si>
  <si>
    <t>Modicon 1 - M172 - DI5</t>
  </si>
  <si>
    <t>RAV-205.RAUD07.UMV001_PUM_SM</t>
  </si>
  <si>
    <t xml:space="preserve">D.-207 - Störung Kondensatpumpe </t>
  </si>
  <si>
    <t>Modicon 1 - M172 - DI7</t>
  </si>
  <si>
    <t>RAV-205.RAUD07.UMV002_PUM_SM</t>
  </si>
  <si>
    <t>Modicon 1 - M172 - DI9</t>
  </si>
  <si>
    <t>RAV-205.RAUD07.UMV003_PUM_SM</t>
  </si>
  <si>
    <t>Modicon 1 - M172 - DI11</t>
  </si>
  <si>
    <t>RAV-205.RAUD07.UMV004_PUM_SM</t>
  </si>
  <si>
    <t>Modicon 1 - EAP1 - DI0</t>
  </si>
  <si>
    <t>RAV-205.RAUC17.KLT_FG_BM</t>
  </si>
  <si>
    <t>RAUC17 - Kältebetrieb Freigabe</t>
  </si>
  <si>
    <t>Modicon 1 - EAP2 - DI0</t>
  </si>
  <si>
    <t>RAV-205.RAUC17.HZG_FG_BM</t>
  </si>
  <si>
    <t>RAUC17 - Heizbetrieb Freigabe</t>
  </si>
  <si>
    <t>Modicon 1 - EAP2 - DI1</t>
  </si>
  <si>
    <t>RAV-205.RAUD10.UMVk01_PUM_SM</t>
  </si>
  <si>
    <t xml:space="preserve">D.-210 - Störung Kondensatpumpe </t>
  </si>
  <si>
    <t>Modicon 2 - M172 - DI2</t>
  </si>
  <si>
    <t>RAV-205.RAUD12.UMV001_PUM_SM</t>
  </si>
  <si>
    <t xml:space="preserve">D.-212 - Störung Kondensatpumpe </t>
  </si>
  <si>
    <t>Modicon 2 - M172 - DI6</t>
  </si>
  <si>
    <t>RAV-205.RAUD18.UMV001_PUM_SM</t>
  </si>
  <si>
    <t xml:space="preserve">D.-218 - Störung Kondensatpumpe </t>
  </si>
  <si>
    <t>Modicon 2 - M172 - DI8</t>
  </si>
  <si>
    <t>D.-213 - Betrieb Trockner</t>
  </si>
  <si>
    <t>Modicon 3 - EAP1 - DI0</t>
  </si>
  <si>
    <t>Modicon 3 - EAP1 - DI1</t>
  </si>
  <si>
    <t>M20 DI-16</t>
  </si>
  <si>
    <t>RAV-205.RAUD13.UMVk01_PUM_SM</t>
  </si>
  <si>
    <t xml:space="preserve">D.-213 - Störung Kondensatpumpe </t>
  </si>
  <si>
    <t>Modicon 3 - M172 - DI2</t>
  </si>
  <si>
    <t>D.-213 - Betrieb Ventilator</t>
  </si>
  <si>
    <t>Modicon 3 - M172 - DI3</t>
  </si>
  <si>
    <t>D.-213 - Störung Ventilator</t>
  </si>
  <si>
    <t>Modicon 3 - M172 - DI4</t>
  </si>
  <si>
    <t>D.-213 - Wartung Rep. Schalter Ventilator</t>
  </si>
  <si>
    <t>Modicon 3 - M172 - DI5</t>
  </si>
  <si>
    <t>Modicon 3 - M172 - DI6</t>
  </si>
  <si>
    <t>Modicon 3 - M172 - DI7</t>
  </si>
  <si>
    <t>Modicon 3 - M172 - DI8</t>
  </si>
  <si>
    <t>RAV-205.RAUD17.UMV001_PUM_SM</t>
  </si>
  <si>
    <t xml:space="preserve">D.-217 - Störung Kondensatpumpe </t>
  </si>
  <si>
    <t>Modicon 3 - M172 - DI10</t>
  </si>
  <si>
    <t>RAV-205.RAUD13.SPÜ001_BM</t>
  </si>
  <si>
    <t>D.-213 - Betrieb Spülstation</t>
  </si>
  <si>
    <t>Modicon 3 - M172 - DI11</t>
  </si>
  <si>
    <t>RAV-205.RAUD13.SPÜ001_SM</t>
  </si>
  <si>
    <t>D.-213 - Störng Spülstation</t>
  </si>
  <si>
    <t>Modicon 3 - M172 - DI12</t>
  </si>
  <si>
    <t>RAV-205.RAUD20.UMV001_PUM_SM</t>
  </si>
  <si>
    <t xml:space="preserve">D.-220 - Störung Kondensatpumpe </t>
  </si>
  <si>
    <t>Modicon 4 - M172 - DI2</t>
  </si>
  <si>
    <t>RAV-205.RAUD21.UMV001_PUM_SM</t>
  </si>
  <si>
    <t xml:space="preserve">D.-221 - Störung Kondensatpumpe </t>
  </si>
  <si>
    <t>Modicon 4 - M172 - DI4</t>
  </si>
  <si>
    <t>RAV-205.RAUD27.UMV001_PUM_SM</t>
  </si>
  <si>
    <t xml:space="preserve">D.-227 - Störung Kondensatpumpe </t>
  </si>
  <si>
    <t>Modicon 5 - M172 - DI2</t>
  </si>
  <si>
    <t>RAV-205.RAUD61.UMVk01_PUM_SM</t>
  </si>
  <si>
    <t xml:space="preserve">D.-261 - Störung Kondensatpumpe </t>
  </si>
  <si>
    <t>Modicon 6 - M172 - DI2</t>
  </si>
  <si>
    <t>RAV-205.RAUD61.UMVk02_PUM_SM</t>
  </si>
  <si>
    <t>Modicon 6 - M172 - DI4</t>
  </si>
  <si>
    <t>M21 DO-FA-12</t>
  </si>
  <si>
    <t>RAV-205.RAUD07.KLT_SB</t>
  </si>
  <si>
    <t>D.-207 - Freigabe Kältebetrieb</t>
  </si>
  <si>
    <t>Modicon 1 - M172 - DO1</t>
  </si>
  <si>
    <t>RAV-205.RAUD07.HZG_SB</t>
  </si>
  <si>
    <t>D.-207 - Freigabe Heizbetrieb</t>
  </si>
  <si>
    <t>Modicon 1 - M172 - DO2</t>
  </si>
  <si>
    <t>RAV-205.RAV205.ASV001_QUT_SB</t>
  </si>
  <si>
    <t>RAV205 - Stellbefehl Fernresettraster</t>
  </si>
  <si>
    <t>Modicon 1 - M172 - DO3</t>
  </si>
  <si>
    <t>RAV-205.RAV205.ASV001_SSM_SB</t>
  </si>
  <si>
    <t>RAV205 - Stellbefehl Sammelstörung</t>
  </si>
  <si>
    <t>Modicon 1 - M172 - DO4</t>
  </si>
  <si>
    <t>RAV-205.RAUD10.HKV001_SB</t>
  </si>
  <si>
    <t>D.-210 - Stellbefehl Ventil Heizung</t>
  </si>
  <si>
    <t>Modicon 2 - M172 - DO1</t>
  </si>
  <si>
    <t>F2-125</t>
  </si>
  <si>
    <t>RAV-205.RAUD12.HKV001_SB</t>
  </si>
  <si>
    <t>D.-212 - Stellbefehl Ventil Heizung</t>
  </si>
  <si>
    <t>Modicon 2 - M172 - DO2</t>
  </si>
  <si>
    <t>F2-135</t>
  </si>
  <si>
    <t>D.-213 - Stellbefehl Ventilator</t>
  </si>
  <si>
    <t>Modicon 3 - M172 - DO1</t>
  </si>
  <si>
    <t>Modicon 3 - M172 - DO2</t>
  </si>
  <si>
    <t>RAV-205.RAUD62.FBV001_SB</t>
  </si>
  <si>
    <t>D.-262 - Stellbefehl Ventil Heizung</t>
  </si>
  <si>
    <t>Modicon 3 - M172 - DO3</t>
  </si>
  <si>
    <t>F2-141</t>
  </si>
  <si>
    <t>RAV-205.RAUD17.KLT_ANF_SB</t>
  </si>
  <si>
    <t>D.-217 - Anforderumg 6-Wege Kälte</t>
  </si>
  <si>
    <t>Modicon 3 - M172 - DO5</t>
  </si>
  <si>
    <t>RAV-205.RAUD17.HZG_ANF_SB</t>
  </si>
  <si>
    <t>D.-217 - Anforderumg 6-Wege Heizung</t>
  </si>
  <si>
    <t>Modicon 3 - M172 - DO6</t>
  </si>
  <si>
    <t>RAV-205.RAUD13.SPÜ001_SB</t>
  </si>
  <si>
    <t>D.-213 - Stellbefehl Spülstation</t>
  </si>
  <si>
    <t>Modicon 3 - M172 - DO8</t>
  </si>
  <si>
    <t>M22 DO-FA-12</t>
  </si>
  <si>
    <t>RAV-205.RAUD20.HKV001_SB</t>
  </si>
  <si>
    <t>D.-220 - Stellbefehl Ventil Heizung</t>
  </si>
  <si>
    <t>Modicon 4 - M172 - DO1</t>
  </si>
  <si>
    <t>F2-158</t>
  </si>
  <si>
    <t>RAV-205.RAUD21.FBV001_SB</t>
  </si>
  <si>
    <t>D.-221 - Stellbefehl Ventil Heizung</t>
  </si>
  <si>
    <t>Modicon 4 - M172 - DO2</t>
  </si>
  <si>
    <t>F2-163</t>
  </si>
  <si>
    <t>RAV-205.RAUD27.FBV001_SB</t>
  </si>
  <si>
    <t>D.-227 - Stellbefehl Ventil Heizung</t>
  </si>
  <si>
    <t>Modicon 5 - M172 - DO1</t>
  </si>
  <si>
    <t>F3-175</t>
  </si>
  <si>
    <t>RAV-205.RAUD33.FBV001_SB</t>
  </si>
  <si>
    <t>D.-233 - Stellbefehl Ventil Heizung</t>
  </si>
  <si>
    <t>Modicon 5 - M172 - DO2</t>
  </si>
  <si>
    <t>F3-181</t>
  </si>
  <si>
    <t>RAV-205.RAUD29.FBV001_SB</t>
  </si>
  <si>
    <t>D.-229 - Stellbefehl Ventil Heizung</t>
  </si>
  <si>
    <t>Modicon 5 - M172 - DO5</t>
  </si>
  <si>
    <t>F3-184</t>
  </si>
  <si>
    <t>RAV-205.RAUD30.FBV001_SB</t>
  </si>
  <si>
    <t>D.-230 - Stellbefehl Ventil Heizung</t>
  </si>
  <si>
    <t>Modicon 5 - M172 - DO6</t>
  </si>
  <si>
    <t>F3-185</t>
  </si>
  <si>
    <t>RAV-205.RAUD32.FBV001_SB</t>
  </si>
  <si>
    <t>D.-232 - Stellbefehl Ventil Heizung</t>
  </si>
  <si>
    <t>Modicon 5 - M172 - DO7</t>
  </si>
  <si>
    <t>F3-188</t>
  </si>
  <si>
    <t>RAV-205.RAUD05.FBV001_SB</t>
  </si>
  <si>
    <t>D.-205 -Stellbefehl Ventil Heizung</t>
  </si>
  <si>
    <t>Modicon 6 - M172 - DO5</t>
  </si>
  <si>
    <t>F3-195</t>
  </si>
  <si>
    <t>RAV-205.RAUD65.FBV001_SB</t>
  </si>
  <si>
    <t>D.-205 - Stellbefehl Ventil Heizung</t>
  </si>
  <si>
    <t>Modicon 6 - M172 - DO6</t>
  </si>
  <si>
    <t>F3-198</t>
  </si>
  <si>
    <t>RAV-205.RAUD72.FBV001_SB</t>
  </si>
  <si>
    <t>D.-272 - Stellbefehl Ventil Heizung</t>
  </si>
  <si>
    <t>Modicon 6 - M172 - DO7</t>
  </si>
  <si>
    <t>F3-202</t>
  </si>
  <si>
    <t>RAV-205.RAUD75.FBV001_SB</t>
  </si>
  <si>
    <t>D.-275 - Stellbefehl Ventil Heizung</t>
  </si>
  <si>
    <t>Modicon 7 - M172 - DO1</t>
  </si>
  <si>
    <t>F3-210</t>
  </si>
  <si>
    <t>RAV-205.RAUD88.FBV001_SB</t>
  </si>
  <si>
    <t>D.-288 - Stellbefehl Ventil Heizung</t>
  </si>
  <si>
    <t>Modicon 7 - M172 - DO2</t>
  </si>
  <si>
    <t>F3-217</t>
  </si>
  <si>
    <t>RAV-205</t>
  </si>
  <si>
    <t>10.241.32.115</t>
  </si>
  <si>
    <t>Modul 13</t>
  </si>
  <si>
    <t>25,51 °C</t>
  </si>
  <si>
    <t>29,92 °C</t>
  </si>
  <si>
    <t>26,46 °C</t>
  </si>
  <si>
    <t>27,21 °C</t>
  </si>
  <si>
    <t>27,95 °C</t>
  </si>
  <si>
    <t>17,90 °C</t>
  </si>
  <si>
    <t>27,54 °C</t>
  </si>
  <si>
    <t>30,33 °C</t>
  </si>
  <si>
    <t>30,18 °C</t>
  </si>
  <si>
    <t>18,29 °C</t>
  </si>
  <si>
    <t>27,49 °C</t>
  </si>
  <si>
    <t>19,79 °C</t>
  </si>
  <si>
    <t>19,28 °C</t>
  </si>
  <si>
    <t>16,67 °C</t>
  </si>
  <si>
    <t>29,95 °C</t>
  </si>
  <si>
    <t>RAV-205.RAUD12.VENh01_MW</t>
  </si>
  <si>
    <t>RAV-205.RAUD18.VENh01_MW</t>
  </si>
  <si>
    <t>RAV-205.RAUD20.VENh01_MW</t>
  </si>
  <si>
    <t>RAV-205.RAUD21.VENh01_MW</t>
  </si>
  <si>
    <t>RAV-205.RAUD27.VENh01_MW</t>
  </si>
  <si>
    <t>RAV-205.RAUD75.VENh01_MW</t>
  </si>
  <si>
    <t>RAV-205.RAUD88.VENh01_MW</t>
  </si>
  <si>
    <t>GeJa - gibt es diesen Sensor?</t>
  </si>
  <si>
    <t>RAV-205.RAUD75.UMV001_PUM_SM</t>
  </si>
  <si>
    <t xml:space="preserve">D.-275 - Störung Kondensatpumpe </t>
  </si>
  <si>
    <t>Modicon 7 - M172 - DI2</t>
  </si>
  <si>
    <t>RAV-205.RAUD88.UMV001_PUM_SM</t>
  </si>
  <si>
    <t xml:space="preserve">D.-288 - Störung Kondensatpumpe </t>
  </si>
  <si>
    <t>Modicon 7 - M172 - DI4</t>
  </si>
  <si>
    <t>670,18 m³/h</t>
  </si>
  <si>
    <t>796,85 m³/h</t>
  </si>
  <si>
    <t>81,09 m³/h</t>
  </si>
  <si>
    <t>-24,74 m³/h</t>
  </si>
  <si>
    <t>393,46 m³/h</t>
  </si>
  <si>
    <t>399,17 m³/h</t>
  </si>
  <si>
    <t>772,92 m³/h</t>
  </si>
  <si>
    <t>354,57 m³/h</t>
  </si>
  <si>
    <t>236,81 m³/h</t>
  </si>
  <si>
    <t>660,63 m³/h</t>
  </si>
  <si>
    <t>288,49 m³/h</t>
  </si>
  <si>
    <t>862,04 m³/h</t>
  </si>
  <si>
    <t>839,52 m³/h</t>
  </si>
  <si>
    <t>104,00 m³/h</t>
  </si>
  <si>
    <t>-25,00 m³/h</t>
  </si>
  <si>
    <t>403,57 m³/h</t>
  </si>
  <si>
    <t>394,51 m³/h</t>
  </si>
  <si>
    <t>398,13 m³/h</t>
  </si>
  <si>
    <t>824,25 m³/h</t>
  </si>
  <si>
    <t>29,79 m³/h</t>
  </si>
  <si>
    <t>239,19 m³/h</t>
  </si>
  <si>
    <t>-319,43 m³/h</t>
  </si>
  <si>
    <t>396,10 m³/h</t>
  </si>
  <si>
    <t>128,22 m³/h</t>
  </si>
  <si>
    <t>79,99 m³/h</t>
  </si>
  <si>
    <t>849,15 m³/h</t>
  </si>
  <si>
    <t>849,73 m³/h</t>
  </si>
  <si>
    <t>RAV-205.RAUD18.VENh01_YB</t>
  </si>
  <si>
    <t>RAV-205.RAUD12.VENh01_YB</t>
  </si>
  <si>
    <t>RAV-205.RAUD88.VENh01_YB</t>
  </si>
  <si>
    <t>285,36 m³/h</t>
  </si>
  <si>
    <t>409,77 m³/h</t>
  </si>
  <si>
    <t>RAV-205.RAUD20.VENh01_YB</t>
  </si>
  <si>
    <t>RAV-205.RAUD21.VENh01_YB</t>
  </si>
  <si>
    <t>399,81 m³/h</t>
  </si>
  <si>
    <t>RAV-205.RAUD27.VENh01_YB</t>
  </si>
  <si>
    <t>RAV-205.RAUD61.UMV001_YB</t>
  </si>
  <si>
    <t>RAV-205.RAUD61.UMV002_YB</t>
  </si>
  <si>
    <t>235,41 m³/h</t>
  </si>
  <si>
    <t>235,38 m³/h</t>
  </si>
  <si>
    <t>645,89 m³/h</t>
  </si>
  <si>
    <t>385,77 m³/h</t>
  </si>
  <si>
    <t>125,50 m³/h</t>
  </si>
  <si>
    <t>RAV-205.RAUD75.VENh01_YB</t>
  </si>
  <si>
    <t>RAV-205.RLT105.ASR001_BM</t>
  </si>
  <si>
    <t>RAV-205.RLT105.ASR002_BM</t>
  </si>
  <si>
    <t>RAV-205.RLT105.ZUV001_BM</t>
  </si>
  <si>
    <t>RAV-205.RLT105.ZUV001_SM</t>
  </si>
  <si>
    <t>RAV-205.RLT105.REP001_WM</t>
  </si>
  <si>
    <t>RAV-205.RLT105.ABV001_BM</t>
  </si>
  <si>
    <t>RAV-205.RLT105.ABV001_SM</t>
  </si>
  <si>
    <t>RAV-205.RLT105.REP002_WM</t>
  </si>
  <si>
    <t>RBH-205.RAUD12.RBH_RK1_SM</t>
  </si>
  <si>
    <t>RBH-205.RAUD12. Störung Rohrbegleitheizung</t>
  </si>
  <si>
    <t>RAV-205.RLT105.ZUV001_SB</t>
  </si>
  <si>
    <t>RAV-205.RLT105.ABV001_SB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</si>
</sst>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7.5"/>
      <color rgb="FFEAEAEA"/>
      <name val="Arial"/>
      <family val="2"/>
    </font>
    <font>
      <b/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0" fillId="0" borderId="0" xfId="0" applyNumberForma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4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49" fontId="4" fillId="3" borderId="9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textRotation="90"/>
    </xf>
    <xf numFmtId="0" fontId="3" fillId="2" borderId="15" xfId="0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 textRotation="90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3</xdr:row>
      <xdr:rowOff>142875</xdr:rowOff>
    </xdr:from>
    <xdr:to>
      <xdr:col>11</xdr:col>
      <xdr:colOff>685799</xdr:colOff>
      <xdr:row>7</xdr:row>
      <xdr:rowOff>169545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44A7AC58-58D3-4F2D-9327-9BC26BAB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447675"/>
          <a:ext cx="1885949" cy="712470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11</xdr:row>
      <xdr:rowOff>38100</xdr:rowOff>
    </xdr:from>
    <xdr:to>
      <xdr:col>11</xdr:col>
      <xdr:colOff>742949</xdr:colOff>
      <xdr:row>15</xdr:row>
      <xdr:rowOff>64770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2E1022-5996-4D21-8D2A-142BCC7AC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1457325"/>
          <a:ext cx="1885949" cy="712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354C-54D7-4BAB-950C-54C8DB3F4974}">
  <dimension ref="A1:S296"/>
  <sheetViews>
    <sheetView topLeftCell="A79" zoomScaleNormal="100" workbookViewId="0">
      <selection activeCell="F38" sqref="F38:F47"/>
    </sheetView>
  </sheetViews>
  <sheetFormatPr baseColWidth="10" defaultColWidth="11.44140625" defaultRowHeight="10.199999999999999" x14ac:dyDescent="0.3"/>
  <cols>
    <col min="1" max="1" width="5.33203125" style="15" customWidth="1"/>
    <col min="2" max="2" width="4.33203125" style="5" customWidth="1"/>
    <col min="3" max="3" width="12.33203125" style="5" customWidth="1"/>
    <col min="4" max="4" width="4.33203125" style="5" customWidth="1"/>
    <col min="5" max="5" width="11.109375" style="5" customWidth="1"/>
    <col min="6" max="6" width="3.33203125" style="5" customWidth="1"/>
    <col min="7" max="7" width="4.33203125" style="5" customWidth="1"/>
    <col min="8" max="8" width="5.6640625" style="15" customWidth="1"/>
    <col min="9" max="9" width="4.33203125" style="5" customWidth="1"/>
    <col min="10" max="10" width="12.33203125" style="5" customWidth="1"/>
    <col min="11" max="11" width="4.33203125" style="5" customWidth="1"/>
    <col min="12" max="12" width="11.109375" style="5" customWidth="1"/>
    <col min="13" max="13" width="3.33203125" style="5" customWidth="1"/>
    <col min="14" max="14" width="2.88671875" style="5" customWidth="1"/>
    <col min="15" max="16384" width="11.44140625" style="15"/>
  </cols>
  <sheetData>
    <row r="1" spans="1:13" x14ac:dyDescent="0.3">
      <c r="A1" s="15" t="s">
        <v>4</v>
      </c>
    </row>
    <row r="2" spans="1:13" ht="8.25" customHeight="1" x14ac:dyDescent="0.3"/>
    <row r="3" spans="1:13" ht="4.5" customHeight="1" x14ac:dyDescent="0.3">
      <c r="B3" s="1"/>
      <c r="C3" s="2"/>
      <c r="D3" s="2"/>
      <c r="E3" s="2"/>
      <c r="F3" s="3"/>
      <c r="I3" s="1"/>
      <c r="J3" s="2"/>
      <c r="K3" s="2"/>
      <c r="L3" s="2"/>
      <c r="M3" s="3"/>
    </row>
    <row r="4" spans="1:13" ht="14.1" customHeight="1" x14ac:dyDescent="0.3">
      <c r="A4" s="16"/>
      <c r="B4" s="10"/>
      <c r="C4" s="11"/>
      <c r="D4" s="11"/>
      <c r="E4" s="11" t="s">
        <v>0</v>
      </c>
      <c r="F4" s="12"/>
      <c r="G4" s="11"/>
      <c r="I4" s="4"/>
      <c r="J4" s="17"/>
      <c r="K4" s="13"/>
      <c r="L4" s="13"/>
      <c r="M4" s="6"/>
    </row>
    <row r="5" spans="1:13" ht="14.1" customHeight="1" x14ac:dyDescent="0.3">
      <c r="B5" s="4"/>
      <c r="C5" s="28"/>
      <c r="D5" s="13"/>
      <c r="E5" s="13"/>
      <c r="F5" s="6"/>
      <c r="I5" s="4"/>
      <c r="J5" s="17"/>
      <c r="K5" s="13"/>
      <c r="L5" s="13"/>
      <c r="M5" s="6"/>
    </row>
    <row r="6" spans="1:13" ht="14.1" customHeight="1" x14ac:dyDescent="0.3">
      <c r="B6" s="4"/>
      <c r="C6" s="55" t="s">
        <v>2</v>
      </c>
      <c r="D6" s="55"/>
      <c r="E6" s="55"/>
      <c r="F6" s="56"/>
      <c r="I6" s="4"/>
      <c r="J6" s="57"/>
      <c r="K6" s="57"/>
      <c r="L6" s="28"/>
      <c r="M6" s="6"/>
    </row>
    <row r="7" spans="1:13" ht="14.1" customHeight="1" x14ac:dyDescent="0.3">
      <c r="B7" s="4"/>
      <c r="C7" s="28"/>
      <c r="D7" s="13"/>
      <c r="E7" s="13"/>
      <c r="F7" s="6"/>
      <c r="I7" s="4"/>
      <c r="J7" s="57"/>
      <c r="K7" s="57"/>
      <c r="L7" s="28"/>
      <c r="M7" s="6"/>
    </row>
    <row r="8" spans="1:13" ht="14.1" customHeight="1" x14ac:dyDescent="0.3">
      <c r="B8" s="4"/>
      <c r="C8" s="30"/>
      <c r="D8" s="13"/>
      <c r="E8" s="13"/>
      <c r="F8" s="6"/>
      <c r="I8" s="4"/>
      <c r="J8" s="57"/>
      <c r="K8" s="57"/>
      <c r="L8" s="28"/>
      <c r="M8" s="6"/>
    </row>
    <row r="9" spans="1:13" ht="4.5" customHeight="1" x14ac:dyDescent="0.3">
      <c r="B9" s="7"/>
      <c r="C9" s="8"/>
      <c r="D9" s="8"/>
      <c r="E9" s="8"/>
      <c r="F9" s="9"/>
      <c r="I9" s="7"/>
      <c r="J9" s="8"/>
      <c r="K9" s="8"/>
      <c r="L9" s="8"/>
      <c r="M9" s="9"/>
    </row>
    <row r="10" spans="1:13" ht="11.7" customHeight="1" x14ac:dyDescent="0.3"/>
    <row r="11" spans="1:13" ht="4.5" customHeight="1" x14ac:dyDescent="0.3">
      <c r="B11" s="1"/>
      <c r="C11" s="2"/>
      <c r="D11" s="2"/>
      <c r="E11" s="2"/>
      <c r="F11" s="3"/>
      <c r="I11" s="1"/>
      <c r="J11" s="2"/>
      <c r="K11" s="2"/>
      <c r="L11" s="2"/>
      <c r="M11" s="3"/>
    </row>
    <row r="12" spans="1:13" ht="14.1" customHeight="1" x14ac:dyDescent="0.3">
      <c r="A12" s="16"/>
      <c r="B12" s="10"/>
      <c r="C12" s="11"/>
      <c r="D12" s="11"/>
      <c r="E12" s="11" t="s">
        <v>1732</v>
      </c>
      <c r="F12" s="12"/>
      <c r="G12" s="11"/>
      <c r="I12" s="4"/>
      <c r="J12" s="17"/>
      <c r="K12" s="13"/>
      <c r="L12" s="13"/>
      <c r="M12" s="6"/>
    </row>
    <row r="13" spans="1:13" ht="14.1" customHeight="1" x14ac:dyDescent="0.3">
      <c r="B13" s="4"/>
      <c r="C13" s="28"/>
      <c r="D13" s="13"/>
      <c r="E13" s="13"/>
      <c r="F13" s="6"/>
      <c r="I13" s="4"/>
      <c r="J13" s="17"/>
      <c r="K13" s="13"/>
      <c r="L13" s="13"/>
      <c r="M13" s="6"/>
    </row>
    <row r="14" spans="1:13" ht="14.1" customHeight="1" x14ac:dyDescent="0.3">
      <c r="B14" s="4"/>
      <c r="C14" s="55" t="s">
        <v>2</v>
      </c>
      <c r="D14" s="55"/>
      <c r="E14" s="55"/>
      <c r="F14" s="56"/>
      <c r="I14" s="4"/>
      <c r="J14" s="57"/>
      <c r="K14" s="57"/>
      <c r="L14" s="28"/>
      <c r="M14" s="6"/>
    </row>
    <row r="15" spans="1:13" ht="14.1" customHeight="1" x14ac:dyDescent="0.3">
      <c r="B15" s="4"/>
      <c r="C15" s="28"/>
      <c r="D15" s="13"/>
      <c r="E15" s="13"/>
      <c r="F15" s="6"/>
      <c r="I15" s="4"/>
      <c r="J15" s="57"/>
      <c r="K15" s="57"/>
      <c r="L15" s="28"/>
      <c r="M15" s="6"/>
    </row>
    <row r="16" spans="1:13" ht="14.1" customHeight="1" x14ac:dyDescent="0.3">
      <c r="B16" s="4"/>
      <c r="C16" s="30"/>
      <c r="D16" s="13"/>
      <c r="E16" s="13"/>
      <c r="F16" s="6"/>
      <c r="I16" s="4"/>
      <c r="J16" s="57"/>
      <c r="K16" s="57"/>
      <c r="L16" s="28"/>
      <c r="M16" s="6"/>
    </row>
    <row r="17" spans="1:17" ht="4.5" customHeight="1" x14ac:dyDescent="0.3">
      <c r="B17" s="7"/>
      <c r="C17" s="8"/>
      <c r="D17" s="8"/>
      <c r="E17" s="8"/>
      <c r="F17" s="9"/>
      <c r="I17" s="7"/>
      <c r="J17" s="8"/>
      <c r="K17" s="8"/>
      <c r="L17" s="8"/>
      <c r="M17" s="9"/>
    </row>
    <row r="18" spans="1:17" ht="11.7" customHeight="1" x14ac:dyDescent="0.3"/>
    <row r="19" spans="1:17" ht="4.5" customHeight="1" x14ac:dyDescent="0.3">
      <c r="B19" s="1"/>
      <c r="C19" s="2"/>
      <c r="D19" s="2"/>
      <c r="E19" s="2"/>
      <c r="F19" s="3"/>
      <c r="I19" s="1"/>
      <c r="J19" s="2"/>
      <c r="K19" s="2"/>
      <c r="L19" s="2"/>
      <c r="M19" s="3"/>
    </row>
    <row r="20" spans="1:17" ht="14.1" customHeight="1" x14ac:dyDescent="0.3">
      <c r="A20" s="16"/>
      <c r="B20" s="10"/>
      <c r="C20" s="11"/>
      <c r="D20" s="11"/>
      <c r="E20" s="11" t="s">
        <v>1</v>
      </c>
      <c r="F20" s="12"/>
      <c r="G20" s="11"/>
      <c r="H20" s="16"/>
      <c r="I20" s="10"/>
      <c r="J20" s="11" t="s">
        <v>881</v>
      </c>
      <c r="K20" s="11"/>
      <c r="L20" s="11"/>
      <c r="M20" s="12"/>
      <c r="N20" s="11"/>
    </row>
    <row r="21" spans="1:17" ht="14.1" customHeight="1" x14ac:dyDescent="0.3">
      <c r="B21" s="4"/>
      <c r="C21" s="13" t="s">
        <v>1730</v>
      </c>
      <c r="D21" s="13"/>
      <c r="E21" s="13"/>
      <c r="F21" s="6"/>
      <c r="I21" s="4"/>
      <c r="J21" s="28" t="s">
        <v>997</v>
      </c>
      <c r="K21" s="13"/>
      <c r="L21" s="13"/>
      <c r="M21" s="6"/>
    </row>
    <row r="22" spans="1:17" ht="14.1" customHeight="1" x14ac:dyDescent="0.3">
      <c r="B22" s="4"/>
      <c r="C22" s="58" t="s">
        <v>3</v>
      </c>
      <c r="D22" s="58"/>
      <c r="E22" s="29"/>
      <c r="F22" s="6"/>
      <c r="I22" s="4"/>
      <c r="J22" s="28"/>
      <c r="K22" s="13"/>
      <c r="L22" s="13"/>
      <c r="M22" s="6"/>
    </row>
    <row r="23" spans="1:17" ht="14.1" customHeight="1" x14ac:dyDescent="0.3">
      <c r="B23" s="4"/>
      <c r="C23" s="57" t="s">
        <v>1731</v>
      </c>
      <c r="D23" s="57"/>
      <c r="E23" s="28"/>
      <c r="F23" s="6"/>
      <c r="I23" s="4"/>
      <c r="J23" s="38" t="s">
        <v>65</v>
      </c>
      <c r="K23" s="13"/>
      <c r="L23" s="13"/>
      <c r="M23" s="6"/>
    </row>
    <row r="24" spans="1:17" ht="14.1" customHeight="1" x14ac:dyDescent="0.3">
      <c r="B24" s="4"/>
      <c r="C24" s="13" t="s">
        <v>994</v>
      </c>
      <c r="D24" s="13"/>
      <c r="E24" s="13"/>
      <c r="F24" s="6"/>
      <c r="I24" s="4"/>
      <c r="J24" s="57" t="s">
        <v>996</v>
      </c>
      <c r="K24" s="59"/>
      <c r="L24" s="59"/>
      <c r="M24" s="6"/>
    </row>
    <row r="25" spans="1:17" ht="4.5" customHeight="1" x14ac:dyDescent="0.3">
      <c r="B25" s="7"/>
      <c r="C25" s="8"/>
      <c r="D25" s="8"/>
      <c r="E25" s="8"/>
      <c r="F25" s="9"/>
      <c r="I25" s="7"/>
      <c r="J25" s="8"/>
      <c r="K25" s="8"/>
      <c r="L25" s="8"/>
      <c r="M25" s="9"/>
    </row>
    <row r="26" spans="1:17" ht="11.7" customHeight="1" x14ac:dyDescent="0.3"/>
    <row r="27" spans="1:17" s="19" customFormat="1" ht="3" customHeight="1" x14ac:dyDescent="0.3">
      <c r="B27" s="48"/>
      <c r="C27" s="49"/>
      <c r="D27" s="49"/>
      <c r="E27" s="50"/>
      <c r="F27" s="43" t="str">
        <f>'ASP-301-1_DP'!C1</f>
        <v>M3 RTD-DI-16</v>
      </c>
      <c r="G27" s="18"/>
      <c r="I27" s="20"/>
      <c r="J27" s="21"/>
      <c r="K27" s="21"/>
      <c r="L27" s="21"/>
      <c r="M27" s="43" t="str">
        <f>F27</f>
        <v>M3 RTD-DI-16</v>
      </c>
      <c r="N27" s="18"/>
    </row>
    <row r="28" spans="1:17" s="19" customFormat="1" ht="9" customHeight="1" x14ac:dyDescent="0.3">
      <c r="B28" s="31" t="s">
        <v>45</v>
      </c>
      <c r="C28" s="46" t="str">
        <f>'ASP-301-1_DP'!D2</f>
        <v>RAV205 - Istwert Schaltschrank</v>
      </c>
      <c r="D28" s="46"/>
      <c r="E28" s="47"/>
      <c r="F28" s="44"/>
      <c r="G28" s="23"/>
      <c r="I28" s="31" t="s">
        <v>53</v>
      </c>
      <c r="J28" s="46" t="str">
        <f>'ASP-301-1_DP'!D10</f>
        <v>D.-212 - Istwert Ausblastemperatur</v>
      </c>
      <c r="K28" s="46"/>
      <c r="L28" s="47"/>
      <c r="M28" s="44"/>
      <c r="N28" s="23"/>
      <c r="P28"/>
      <c r="Q28"/>
    </row>
    <row r="29" spans="1:17" s="19" customFormat="1" ht="9" customHeight="1" x14ac:dyDescent="0.3">
      <c r="B29" s="31" t="s">
        <v>46</v>
      </c>
      <c r="C29" s="46" t="str">
        <f>'ASP-301-1_DP'!D3</f>
        <v>D.-207 - Istwert Ausblastemperatur</v>
      </c>
      <c r="D29" s="46"/>
      <c r="E29" s="47"/>
      <c r="F29" s="44"/>
      <c r="G29" s="23"/>
      <c r="I29" s="31" t="s">
        <v>54</v>
      </c>
      <c r="J29" s="46" t="str">
        <f>'ASP-301-1_DP'!D11</f>
        <v>D.-218 - Istwert Ausblastemperatur</v>
      </c>
      <c r="K29" s="46"/>
      <c r="L29" s="47"/>
      <c r="M29" s="44"/>
      <c r="N29" s="23"/>
      <c r="P29"/>
      <c r="Q29"/>
    </row>
    <row r="30" spans="1:17" s="19" customFormat="1" ht="9" customHeight="1" x14ac:dyDescent="0.3">
      <c r="B30" s="31" t="s">
        <v>47</v>
      </c>
      <c r="C30" s="46" t="str">
        <f>'ASP-301-1_DP'!D4</f>
        <v>D.-207 - Istwert Ausblastemperatur</v>
      </c>
      <c r="D30" s="46"/>
      <c r="E30" s="47"/>
      <c r="F30" s="44"/>
      <c r="G30" s="23"/>
      <c r="I30" s="31" t="s">
        <v>55</v>
      </c>
      <c r="J30" s="46" t="str">
        <f>'ASP-301-1_DP'!D12</f>
        <v>D.-213 - Istwert Ausblastemperatur</v>
      </c>
      <c r="K30" s="46"/>
      <c r="L30" s="47"/>
      <c r="M30" s="44"/>
      <c r="N30" s="23"/>
      <c r="P30"/>
      <c r="Q30"/>
    </row>
    <row r="31" spans="1:17" s="19" customFormat="1" ht="9" customHeight="1" x14ac:dyDescent="0.3">
      <c r="B31" s="31" t="s">
        <v>48</v>
      </c>
      <c r="C31" s="46" t="str">
        <f>'ASP-301-1_DP'!D5</f>
        <v>D.-207 - Istwert Ausblastemperatur</v>
      </c>
      <c r="D31" s="46"/>
      <c r="E31" s="47"/>
      <c r="F31" s="44"/>
      <c r="G31" s="23"/>
      <c r="I31" s="31" t="s">
        <v>56</v>
      </c>
      <c r="J31" s="46" t="str">
        <f>'ASP-301-1_DP'!D13</f>
        <v>D.-217 - Istwert Ausblastemperatur</v>
      </c>
      <c r="K31" s="46"/>
      <c r="L31" s="47"/>
      <c r="M31" s="44"/>
      <c r="N31" s="23"/>
      <c r="P31"/>
      <c r="Q31"/>
    </row>
    <row r="32" spans="1:17" s="19" customFormat="1" ht="9" customHeight="1" x14ac:dyDescent="0.3">
      <c r="B32" s="31" t="s">
        <v>49</v>
      </c>
      <c r="C32" s="46" t="str">
        <f>'ASP-301-1_DP'!D6</f>
        <v>D.-207 - Istwert Ausblastemperatur</v>
      </c>
      <c r="D32" s="46"/>
      <c r="E32" s="47"/>
      <c r="F32" s="44"/>
      <c r="G32" s="23"/>
      <c r="I32" s="31" t="s">
        <v>57</v>
      </c>
      <c r="J32" s="46" t="str">
        <f>'ASP-301-1_DP'!D14</f>
        <v>D.-220 - Istwert Ausblastemperatur</v>
      </c>
      <c r="K32" s="46"/>
      <c r="L32" s="47"/>
      <c r="M32" s="44"/>
      <c r="N32" s="23"/>
      <c r="P32"/>
      <c r="Q32"/>
    </row>
    <row r="33" spans="2:17" s="19" customFormat="1" ht="9" customHeight="1" x14ac:dyDescent="0.3">
      <c r="B33" s="31" t="s">
        <v>50</v>
      </c>
      <c r="C33" s="46" t="str">
        <f>'ASP-301-1_DP'!D7</f>
        <v>D.-210 - Istwert Ausblastemperatur</v>
      </c>
      <c r="D33" s="46"/>
      <c r="E33" s="47"/>
      <c r="F33" s="44"/>
      <c r="G33" s="23"/>
      <c r="I33" s="31" t="s">
        <v>58</v>
      </c>
      <c r="J33" s="46" t="str">
        <f>'ASP-301-1_DP'!D15</f>
        <v>D.-221 - Istwert Ausblastemperatur</v>
      </c>
      <c r="K33" s="46"/>
      <c r="L33" s="47"/>
      <c r="M33" s="44"/>
      <c r="N33" s="23"/>
      <c r="P33"/>
      <c r="Q33"/>
    </row>
    <row r="34" spans="2:17" s="19" customFormat="1" ht="9" customHeight="1" x14ac:dyDescent="0.3">
      <c r="B34" s="31" t="s">
        <v>51</v>
      </c>
      <c r="C34" s="46" t="str">
        <f>'ASP-301-1_DP'!D8</f>
        <v>D.-211 - Istwert Ausblastemperatur</v>
      </c>
      <c r="D34" s="46"/>
      <c r="E34" s="47"/>
      <c r="F34" s="44"/>
      <c r="G34" s="23"/>
      <c r="I34" s="31" t="s">
        <v>59</v>
      </c>
      <c r="J34" s="46" t="str">
        <f>'ASP-301-1_DP'!D16</f>
        <v>D.-227 - Istwert Ausblastemperatur</v>
      </c>
      <c r="K34" s="46"/>
      <c r="L34" s="47"/>
      <c r="M34" s="44"/>
      <c r="N34" s="23"/>
      <c r="P34"/>
      <c r="Q34"/>
    </row>
    <row r="35" spans="2:17" s="19" customFormat="1" ht="9" customHeight="1" x14ac:dyDescent="0.3">
      <c r="B35" s="31" t="s">
        <v>52</v>
      </c>
      <c r="C35" s="46" t="str">
        <f>'ASP-301-1_DP'!D9</f>
        <v>D.-211 - Istwert Ausblastemperatur</v>
      </c>
      <c r="D35" s="46"/>
      <c r="E35" s="47"/>
      <c r="F35" s="44"/>
      <c r="G35" s="23"/>
      <c r="I35" s="31" t="s">
        <v>60</v>
      </c>
      <c r="J35" s="46" t="str">
        <f>'ASP-301-1_DP'!D17</f>
        <v>D.-261 - Istwert Ausblastemperatur</v>
      </c>
      <c r="K35" s="46"/>
      <c r="L35" s="47"/>
      <c r="M35" s="44"/>
      <c r="N35" s="23"/>
      <c r="P35"/>
      <c r="Q35"/>
    </row>
    <row r="36" spans="2:17" s="19" customFormat="1" ht="3" customHeight="1" x14ac:dyDescent="0.3">
      <c r="B36" s="48"/>
      <c r="C36" s="49"/>
      <c r="D36" s="49"/>
      <c r="E36" s="50"/>
      <c r="F36" s="45"/>
      <c r="G36" s="18"/>
      <c r="I36" s="24"/>
      <c r="J36" s="25"/>
      <c r="K36" s="25"/>
      <c r="L36" s="25"/>
      <c r="M36" s="45"/>
      <c r="N36" s="18"/>
    </row>
    <row r="37" spans="2:17" ht="11.7" customHeight="1" x14ac:dyDescent="0.3"/>
    <row r="38" spans="2:17" s="19" customFormat="1" ht="3" customHeight="1" x14ac:dyDescent="0.3">
      <c r="B38" s="48"/>
      <c r="C38" s="49"/>
      <c r="D38" s="49"/>
      <c r="E38" s="50"/>
      <c r="F38" s="43" t="str">
        <f>'ASP-301-1_DP'!C18</f>
        <v>M4 RTD-DI-16</v>
      </c>
      <c r="G38" s="18"/>
      <c r="I38" s="20"/>
      <c r="J38" s="21"/>
      <c r="K38" s="21"/>
      <c r="L38" s="21"/>
      <c r="M38" s="43" t="str">
        <f>F38</f>
        <v>M4 RTD-DI-16</v>
      </c>
      <c r="N38" s="18"/>
    </row>
    <row r="39" spans="2:17" s="19" customFormat="1" ht="9" customHeight="1" x14ac:dyDescent="0.3">
      <c r="B39" s="31" t="s">
        <v>45</v>
      </c>
      <c r="C39" s="46">
        <f>'ASP-301-1_DP'!D19</f>
        <v>0</v>
      </c>
      <c r="D39" s="46"/>
      <c r="E39" s="47"/>
      <c r="F39" s="44"/>
      <c r="G39" s="23"/>
      <c r="I39" s="31" t="s">
        <v>53</v>
      </c>
      <c r="J39" s="46">
        <f>'ASP-301-1_DP'!D27</f>
        <v>0</v>
      </c>
      <c r="K39" s="46"/>
      <c r="L39" s="47"/>
      <c r="M39" s="44"/>
      <c r="N39" s="23"/>
      <c r="P39"/>
      <c r="Q39"/>
    </row>
    <row r="40" spans="2:17" s="19" customFormat="1" ht="9" customHeight="1" x14ac:dyDescent="0.3">
      <c r="B40" s="31" t="s">
        <v>46</v>
      </c>
      <c r="C40" s="46" t="str">
        <f>'ASP-301-1_DP'!D20</f>
        <v>D.-275 - Istwert Ausblastemperatur</v>
      </c>
      <c r="D40" s="46"/>
      <c r="E40" s="47"/>
      <c r="F40" s="44"/>
      <c r="G40" s="23"/>
      <c r="I40" s="31" t="s">
        <v>54</v>
      </c>
      <c r="J40" s="46">
        <f>'ASP-301-1_DP'!D28</f>
        <v>0</v>
      </c>
      <c r="K40" s="46"/>
      <c r="L40" s="47"/>
      <c r="M40" s="44"/>
      <c r="N40" s="23"/>
      <c r="P40"/>
      <c r="Q40"/>
    </row>
    <row r="41" spans="2:17" s="19" customFormat="1" ht="9" customHeight="1" x14ac:dyDescent="0.3">
      <c r="B41" s="31" t="s">
        <v>47</v>
      </c>
      <c r="C41" s="46" t="str">
        <f>'ASP-301-1_DP'!D21</f>
        <v>D.-288 - Istwert Ausblastemperatur</v>
      </c>
      <c r="D41" s="46"/>
      <c r="E41" s="47"/>
      <c r="F41" s="44"/>
      <c r="G41" s="23"/>
      <c r="I41" s="31" t="s">
        <v>55</v>
      </c>
      <c r="J41" s="46">
        <f>'ASP-301-1_DP'!D29</f>
        <v>0</v>
      </c>
      <c r="K41" s="46"/>
      <c r="L41" s="47"/>
      <c r="M41" s="44"/>
      <c r="N41" s="23"/>
      <c r="P41"/>
      <c r="Q41"/>
    </row>
    <row r="42" spans="2:17" s="19" customFormat="1" ht="9" customHeight="1" x14ac:dyDescent="0.3">
      <c r="B42" s="31" t="s">
        <v>48</v>
      </c>
      <c r="C42" s="46">
        <f>'ASP-301-1_DP'!D22</f>
        <v>0</v>
      </c>
      <c r="D42" s="46"/>
      <c r="E42" s="47"/>
      <c r="F42" s="44"/>
      <c r="G42" s="23"/>
      <c r="I42" s="31" t="s">
        <v>56</v>
      </c>
      <c r="J42" s="46">
        <f>'ASP-301-1_DP'!D30</f>
        <v>0</v>
      </c>
      <c r="K42" s="46"/>
      <c r="L42" s="47"/>
      <c r="M42" s="44"/>
      <c r="N42" s="23"/>
      <c r="P42"/>
      <c r="Q42"/>
    </row>
    <row r="43" spans="2:17" s="19" customFormat="1" ht="9" customHeight="1" x14ac:dyDescent="0.3">
      <c r="B43" s="31" t="s">
        <v>49</v>
      </c>
      <c r="C43" s="46">
        <f>'ASP-301-1_DP'!D23</f>
        <v>0</v>
      </c>
      <c r="D43" s="46"/>
      <c r="E43" s="47"/>
      <c r="F43" s="44"/>
      <c r="G43" s="23"/>
      <c r="I43" s="31" t="s">
        <v>57</v>
      </c>
      <c r="J43" s="46">
        <f>'ASP-301-1_DP'!D31</f>
        <v>0</v>
      </c>
      <c r="K43" s="46"/>
      <c r="L43" s="47"/>
      <c r="M43" s="44"/>
      <c r="N43" s="23"/>
      <c r="P43"/>
      <c r="Q43"/>
    </row>
    <row r="44" spans="2:17" s="19" customFormat="1" ht="9" customHeight="1" x14ac:dyDescent="0.3">
      <c r="B44" s="31" t="s">
        <v>50</v>
      </c>
      <c r="C44" s="46">
        <f>'ASP-301-1_DP'!D24</f>
        <v>0</v>
      </c>
      <c r="D44" s="46"/>
      <c r="E44" s="47"/>
      <c r="F44" s="44"/>
      <c r="G44" s="23"/>
      <c r="I44" s="31" t="s">
        <v>58</v>
      </c>
      <c r="J44" s="46">
        <f>'ASP-301-1_DP'!D32</f>
        <v>0</v>
      </c>
      <c r="K44" s="46"/>
      <c r="L44" s="47"/>
      <c r="M44" s="44"/>
      <c r="N44" s="23"/>
      <c r="P44"/>
      <c r="Q44"/>
    </row>
    <row r="45" spans="2:17" s="19" customFormat="1" ht="9" customHeight="1" x14ac:dyDescent="0.3">
      <c r="B45" s="31" t="s">
        <v>51</v>
      </c>
      <c r="C45" s="46">
        <f>'ASP-301-1_DP'!D25</f>
        <v>0</v>
      </c>
      <c r="D45" s="46"/>
      <c r="E45" s="47"/>
      <c r="F45" s="44"/>
      <c r="G45" s="23"/>
      <c r="I45" s="31" t="s">
        <v>59</v>
      </c>
      <c r="J45" s="46">
        <f>'ASP-301-1_DP'!D33</f>
        <v>0</v>
      </c>
      <c r="K45" s="46"/>
      <c r="L45" s="47"/>
      <c r="M45" s="44"/>
      <c r="N45" s="23"/>
      <c r="P45"/>
      <c r="Q45"/>
    </row>
    <row r="46" spans="2:17" s="19" customFormat="1" ht="9" customHeight="1" x14ac:dyDescent="0.3">
      <c r="B46" s="31" t="s">
        <v>52</v>
      </c>
      <c r="C46" s="46">
        <f>'ASP-301-1_DP'!D26</f>
        <v>0</v>
      </c>
      <c r="D46" s="46"/>
      <c r="E46" s="47"/>
      <c r="F46" s="44"/>
      <c r="G46" s="23"/>
      <c r="I46" s="31" t="s">
        <v>60</v>
      </c>
      <c r="J46" s="46">
        <f>'ASP-301-1_DP'!D34</f>
        <v>0</v>
      </c>
      <c r="K46" s="46"/>
      <c r="L46" s="47"/>
      <c r="M46" s="44"/>
      <c r="N46" s="23"/>
      <c r="P46"/>
      <c r="Q46"/>
    </row>
    <row r="47" spans="2:17" s="19" customFormat="1" ht="3" customHeight="1" x14ac:dyDescent="0.3">
      <c r="B47" s="48"/>
      <c r="C47" s="49"/>
      <c r="D47" s="49"/>
      <c r="E47" s="50"/>
      <c r="F47" s="45"/>
      <c r="G47" s="18"/>
      <c r="I47" s="24"/>
      <c r="J47" s="25"/>
      <c r="K47" s="25"/>
      <c r="L47" s="25"/>
      <c r="M47" s="45"/>
      <c r="N47" s="18"/>
    </row>
    <row r="48" spans="2:17" ht="11.7" customHeight="1" x14ac:dyDescent="0.3"/>
    <row r="49" spans="2:17" s="19" customFormat="1" ht="3" customHeight="1" x14ac:dyDescent="0.3">
      <c r="B49" s="48"/>
      <c r="C49" s="49"/>
      <c r="D49" s="49"/>
      <c r="E49" s="50"/>
      <c r="F49" s="43" t="str">
        <f>'ASP-301-1_DP'!C35</f>
        <v>M5 UI-16</v>
      </c>
      <c r="G49" s="18"/>
      <c r="I49" s="20"/>
      <c r="J49" s="21"/>
      <c r="K49" s="21"/>
      <c r="L49" s="21"/>
      <c r="M49" s="43" t="str">
        <f>F49</f>
        <v>M5 UI-16</v>
      </c>
      <c r="N49" s="18"/>
    </row>
    <row r="50" spans="2:17" s="19" customFormat="1" ht="9" customHeight="1" x14ac:dyDescent="0.3">
      <c r="B50" s="31" t="s">
        <v>45</v>
      </c>
      <c r="C50" s="46" t="str">
        <f>'ASP-301-1_DP'!D36</f>
        <v>D.-211 - Istwert FCU Heizventil</v>
      </c>
      <c r="D50" s="46"/>
      <c r="E50" s="47"/>
      <c r="F50" s="44"/>
      <c r="G50" s="23"/>
      <c r="I50" s="31" t="s">
        <v>53</v>
      </c>
      <c r="J50" s="46" t="str">
        <f>'ASP-301-1_DP'!D44</f>
        <v>D.-275 - Istwert FCU Heizventil</v>
      </c>
      <c r="K50" s="46"/>
      <c r="L50" s="47"/>
      <c r="M50" s="44"/>
      <c r="N50" s="23"/>
      <c r="P50"/>
      <c r="Q50"/>
    </row>
    <row r="51" spans="2:17" s="19" customFormat="1" ht="9" customHeight="1" x14ac:dyDescent="0.3">
      <c r="B51" s="31" t="s">
        <v>46</v>
      </c>
      <c r="C51" s="46" t="str">
        <f>'ASP-301-1_DP'!D37</f>
        <v>D.-211 - Istwert FCU Heizventil</v>
      </c>
      <c r="D51" s="46"/>
      <c r="E51" s="47"/>
      <c r="F51" s="44"/>
      <c r="G51" s="23"/>
      <c r="I51" s="31" t="s">
        <v>54</v>
      </c>
      <c r="J51" s="46" t="str">
        <f>'ASP-301-1_DP'!D45</f>
        <v>D.-288 - Istwert FCU Heizventil</v>
      </c>
      <c r="K51" s="46"/>
      <c r="L51" s="47"/>
      <c r="M51" s="44"/>
      <c r="N51" s="23"/>
      <c r="P51"/>
      <c r="Q51"/>
    </row>
    <row r="52" spans="2:17" s="19" customFormat="1" ht="9" customHeight="1" x14ac:dyDescent="0.3">
      <c r="B52" s="31" t="s">
        <v>47</v>
      </c>
      <c r="C52" s="46" t="str">
        <f>'ASP-301-1_DP'!D38</f>
        <v>D.-212 - Istwert FCU Heizventil</v>
      </c>
      <c r="D52" s="46"/>
      <c r="E52" s="47"/>
      <c r="F52" s="44"/>
      <c r="G52" s="23"/>
      <c r="I52" s="31" t="s">
        <v>55</v>
      </c>
      <c r="J52" s="46" t="str">
        <f>'ASP-301-1_DP'!D46</f>
        <v>D.-210 - Istwert FCU Kälteventil</v>
      </c>
      <c r="K52" s="46"/>
      <c r="L52" s="47"/>
      <c r="M52" s="44"/>
      <c r="N52" s="23"/>
      <c r="P52"/>
      <c r="Q52"/>
    </row>
    <row r="53" spans="2:17" s="19" customFormat="1" ht="9" customHeight="1" x14ac:dyDescent="0.3">
      <c r="B53" s="31" t="s">
        <v>48</v>
      </c>
      <c r="C53" s="46" t="str">
        <f>'ASP-301-1_DP'!D39</f>
        <v>D.-218 - Istwert FCU Heizventil</v>
      </c>
      <c r="D53" s="46"/>
      <c r="E53" s="47"/>
      <c r="F53" s="44"/>
      <c r="G53" s="23"/>
      <c r="I53" s="31" t="s">
        <v>56</v>
      </c>
      <c r="J53" s="46" t="str">
        <f>'ASP-301-1_DP'!D47</f>
        <v>D.-212 - Istwert FCU Kälteventil</v>
      </c>
      <c r="K53" s="46"/>
      <c r="L53" s="47"/>
      <c r="M53" s="44"/>
      <c r="N53" s="23"/>
      <c r="P53"/>
      <c r="Q53"/>
    </row>
    <row r="54" spans="2:17" s="19" customFormat="1" ht="9" customHeight="1" x14ac:dyDescent="0.3">
      <c r="B54" s="31" t="s">
        <v>49</v>
      </c>
      <c r="C54" s="46">
        <f>'ASP-301-1_DP'!D40</f>
        <v>0</v>
      </c>
      <c r="D54" s="46"/>
      <c r="E54" s="47"/>
      <c r="F54" s="44"/>
      <c r="G54" s="23"/>
      <c r="I54" s="31" t="s">
        <v>57</v>
      </c>
      <c r="J54" s="46" t="str">
        <f>'ASP-301-1_DP'!D48</f>
        <v>D.-218 - Istwert FCU Kälteventil</v>
      </c>
      <c r="K54" s="46"/>
      <c r="L54" s="47"/>
      <c r="M54" s="44"/>
      <c r="N54" s="23"/>
      <c r="P54"/>
      <c r="Q54"/>
    </row>
    <row r="55" spans="2:17" s="19" customFormat="1" ht="9" customHeight="1" x14ac:dyDescent="0.3">
      <c r="B55" s="31" t="s">
        <v>50</v>
      </c>
      <c r="C55" s="46" t="str">
        <f>'ASP-301-1_DP'!D41</f>
        <v>D.-220 - Istwert FCU Heizventil</v>
      </c>
      <c r="D55" s="46"/>
      <c r="E55" s="47"/>
      <c r="F55" s="44"/>
      <c r="G55" s="23"/>
      <c r="I55" s="31" t="s">
        <v>58</v>
      </c>
      <c r="J55" s="46" t="str">
        <f>'ASP-301-1_DP'!D49</f>
        <v>D.-213 - Istwert FCU Kälteventil</v>
      </c>
      <c r="K55" s="46"/>
      <c r="L55" s="47"/>
      <c r="M55" s="44"/>
      <c r="N55" s="23"/>
      <c r="P55"/>
      <c r="Q55"/>
    </row>
    <row r="56" spans="2:17" s="19" customFormat="1" ht="9" customHeight="1" x14ac:dyDescent="0.3">
      <c r="B56" s="31" t="s">
        <v>51</v>
      </c>
      <c r="C56" s="46" t="str">
        <f>'ASP-301-1_DP'!D42</f>
        <v>D.-221 - Istwert FCU Heizventil</v>
      </c>
      <c r="D56" s="46"/>
      <c r="E56" s="47"/>
      <c r="F56" s="44"/>
      <c r="G56" s="23"/>
      <c r="I56" s="31" t="s">
        <v>59</v>
      </c>
      <c r="J56" s="46" t="str">
        <f>'ASP-301-1_DP'!D50</f>
        <v>D.-220 - Istwert FCU Kälteventil</v>
      </c>
      <c r="K56" s="46"/>
      <c r="L56" s="47"/>
      <c r="M56" s="44"/>
      <c r="N56" s="23"/>
      <c r="P56"/>
      <c r="Q56"/>
    </row>
    <row r="57" spans="2:17" s="19" customFormat="1" ht="9" customHeight="1" x14ac:dyDescent="0.3">
      <c r="B57" s="31" t="s">
        <v>52</v>
      </c>
      <c r="C57" s="46" t="str">
        <f>'ASP-301-1_DP'!D43</f>
        <v>D.-227 - Istwert FCU Heizventil</v>
      </c>
      <c r="D57" s="46"/>
      <c r="E57" s="47"/>
      <c r="F57" s="44"/>
      <c r="G57" s="23"/>
      <c r="I57" s="31" t="s">
        <v>60</v>
      </c>
      <c r="J57" s="46" t="str">
        <f>'ASP-301-1_DP'!D51</f>
        <v>D.-221 - Istwert FCU Kälteventil</v>
      </c>
      <c r="K57" s="46"/>
      <c r="L57" s="47"/>
      <c r="M57" s="44"/>
      <c r="N57" s="23"/>
      <c r="P57"/>
      <c r="Q57"/>
    </row>
    <row r="58" spans="2:17" s="19" customFormat="1" ht="3" customHeight="1" x14ac:dyDescent="0.3">
      <c r="B58" s="48"/>
      <c r="C58" s="49"/>
      <c r="D58" s="49"/>
      <c r="E58" s="50"/>
      <c r="F58" s="45"/>
      <c r="G58" s="18"/>
      <c r="I58" s="24"/>
      <c r="J58" s="25"/>
      <c r="K58" s="25"/>
      <c r="L58" s="25"/>
      <c r="M58" s="45"/>
      <c r="N58" s="18"/>
    </row>
    <row r="59" spans="2:17" ht="11.7" customHeight="1" x14ac:dyDescent="0.3"/>
    <row r="60" spans="2:17" s="19" customFormat="1" ht="3" customHeight="1" x14ac:dyDescent="0.3">
      <c r="B60" s="48"/>
      <c r="C60" s="49"/>
      <c r="D60" s="49"/>
      <c r="E60" s="50"/>
      <c r="F60" s="43" t="str">
        <f>'ASP-301-1_DP'!C52</f>
        <v>M6 UI-16</v>
      </c>
      <c r="G60" s="18"/>
      <c r="I60" s="20"/>
      <c r="J60" s="21"/>
      <c r="K60" s="21"/>
      <c r="L60" s="21"/>
      <c r="M60" s="43" t="str">
        <f>F60</f>
        <v>M6 UI-16</v>
      </c>
      <c r="N60" s="18"/>
    </row>
    <row r="61" spans="2:17" s="19" customFormat="1" ht="9" customHeight="1" x14ac:dyDescent="0.3">
      <c r="B61" s="31" t="s">
        <v>45</v>
      </c>
      <c r="C61" s="46" t="str">
        <f>'ASP-301-1_DP'!D53</f>
        <v>D.-227 - Istwert FCU Kälteventil</v>
      </c>
      <c r="D61" s="46"/>
      <c r="E61" s="47"/>
      <c r="F61" s="44"/>
      <c r="G61" s="23"/>
      <c r="I61" s="31" t="s">
        <v>53</v>
      </c>
      <c r="J61" s="46" t="str">
        <f>'ASP-301-1_DP'!D61</f>
        <v>D.-207 - Istwert HZG/KLG Ventil</v>
      </c>
      <c r="K61" s="46"/>
      <c r="L61" s="47"/>
      <c r="M61" s="44"/>
      <c r="N61" s="23"/>
      <c r="P61"/>
      <c r="Q61"/>
    </row>
    <row r="62" spans="2:17" s="19" customFormat="1" ht="9" customHeight="1" x14ac:dyDescent="0.3">
      <c r="B62" s="31" t="s">
        <v>46</v>
      </c>
      <c r="C62" s="46" t="str">
        <f>'ASP-301-1_DP'!D54</f>
        <v>D.-261 - Istwert FCU Kälteventil</v>
      </c>
      <c r="D62" s="46"/>
      <c r="E62" s="47"/>
      <c r="F62" s="44"/>
      <c r="G62" s="23"/>
      <c r="I62" s="31" t="s">
        <v>54</v>
      </c>
      <c r="J62" s="46" t="str">
        <f>'ASP-301-1_DP'!D62</f>
        <v>D.-217 - Istwert FCU Ventil</v>
      </c>
      <c r="K62" s="46"/>
      <c r="L62" s="47"/>
      <c r="M62" s="44"/>
      <c r="N62" s="23"/>
      <c r="P62"/>
      <c r="Q62"/>
    </row>
    <row r="63" spans="2:17" s="19" customFormat="1" ht="9" customHeight="1" x14ac:dyDescent="0.3">
      <c r="B63" s="31" t="s">
        <v>47</v>
      </c>
      <c r="C63" s="46" t="str">
        <f>'ASP-301-1_DP'!D55</f>
        <v>D.-261 - Istwert FCU Kälteventil</v>
      </c>
      <c r="D63" s="46"/>
      <c r="E63" s="47"/>
      <c r="F63" s="44"/>
      <c r="G63" s="23"/>
      <c r="I63" s="31" t="s">
        <v>55</v>
      </c>
      <c r="J63" s="46" t="str">
        <f>'ASP-301-1_DP'!D63</f>
        <v>D.-227 - Istwert VOC</v>
      </c>
      <c r="K63" s="46"/>
      <c r="L63" s="47"/>
      <c r="M63" s="44"/>
      <c r="N63" s="23"/>
      <c r="P63"/>
      <c r="Q63"/>
    </row>
    <row r="64" spans="2:17" s="19" customFormat="1" ht="9" customHeight="1" x14ac:dyDescent="0.3">
      <c r="B64" s="31" t="s">
        <v>48</v>
      </c>
      <c r="C64" s="46" t="str">
        <f>'ASP-301-1_DP'!D56</f>
        <v>D.-275 - Istwert FCU Kälteventil</v>
      </c>
      <c r="D64" s="46"/>
      <c r="E64" s="47"/>
      <c r="F64" s="44"/>
      <c r="G64" s="23"/>
      <c r="I64" s="31" t="s">
        <v>56</v>
      </c>
      <c r="J64" s="46" t="str">
        <f>'ASP-301-1_DP'!D64</f>
        <v>D.-272 - Istwert VOC</v>
      </c>
      <c r="K64" s="46"/>
      <c r="L64" s="47"/>
      <c r="M64" s="44"/>
      <c r="N64" s="23"/>
      <c r="P64"/>
      <c r="Q64"/>
    </row>
    <row r="65" spans="2:17" s="19" customFormat="1" ht="9" customHeight="1" x14ac:dyDescent="0.3">
      <c r="B65" s="31" t="s">
        <v>49</v>
      </c>
      <c r="C65" s="46" t="str">
        <f>'ASP-301-1_DP'!D57</f>
        <v>D.-288 - Istwert FCU Kälteventil</v>
      </c>
      <c r="D65" s="46"/>
      <c r="E65" s="47"/>
      <c r="F65" s="44"/>
      <c r="G65" s="23"/>
      <c r="I65" s="31" t="s">
        <v>57</v>
      </c>
      <c r="J65" s="46" t="str">
        <f>'ASP-301-1_DP'!D65</f>
        <v>D.-275 - Istwert VOC</v>
      </c>
      <c r="K65" s="46"/>
      <c r="L65" s="47"/>
      <c r="M65" s="44"/>
      <c r="N65" s="23"/>
      <c r="P65"/>
      <c r="Q65"/>
    </row>
    <row r="66" spans="2:17" s="19" customFormat="1" ht="9" customHeight="1" x14ac:dyDescent="0.3">
      <c r="B66" s="31" t="s">
        <v>50</v>
      </c>
      <c r="C66" s="46" t="str">
        <f>'ASP-301-1_DP'!D58</f>
        <v>D.-207 - Istwert HZG/KLG Ventil</v>
      </c>
      <c r="D66" s="46"/>
      <c r="E66" s="47"/>
      <c r="F66" s="44"/>
      <c r="G66" s="23"/>
      <c r="I66" s="31" t="s">
        <v>58</v>
      </c>
      <c r="J66" s="46" t="str">
        <f>'ASP-301-1_DP'!D66</f>
        <v>D.-288 - Istwert VOC</v>
      </c>
      <c r="K66" s="46"/>
      <c r="L66" s="47"/>
      <c r="M66" s="44"/>
      <c r="N66" s="23"/>
      <c r="P66"/>
      <c r="Q66"/>
    </row>
    <row r="67" spans="2:17" s="19" customFormat="1" ht="9" customHeight="1" x14ac:dyDescent="0.3">
      <c r="B67" s="31" t="s">
        <v>51</v>
      </c>
      <c r="C67" s="46" t="str">
        <f>'ASP-301-1_DP'!D59</f>
        <v>D.-207 - Istwert HZG/KLG Ventil</v>
      </c>
      <c r="D67" s="46"/>
      <c r="E67" s="47"/>
      <c r="F67" s="44"/>
      <c r="G67" s="23"/>
      <c r="I67" s="31" t="s">
        <v>59</v>
      </c>
      <c r="J67" s="46" t="str">
        <f>'ASP-301-1_DP'!D67</f>
        <v xml:space="preserve">D.-275 - Störung Kondensatpumpe </v>
      </c>
      <c r="K67" s="46"/>
      <c r="L67" s="47"/>
      <c r="M67" s="44"/>
      <c r="N67" s="23"/>
      <c r="P67"/>
      <c r="Q67"/>
    </row>
    <row r="68" spans="2:17" s="19" customFormat="1" ht="9" customHeight="1" x14ac:dyDescent="0.3">
      <c r="B68" s="31" t="s">
        <v>52</v>
      </c>
      <c r="C68" s="46" t="str">
        <f>'ASP-301-1_DP'!D60</f>
        <v>D.-207 - Istwert HZG/KLG Ventil</v>
      </c>
      <c r="D68" s="46"/>
      <c r="E68" s="47"/>
      <c r="F68" s="44"/>
      <c r="G68" s="23"/>
      <c r="I68" s="31" t="s">
        <v>60</v>
      </c>
      <c r="J68" s="46" t="str">
        <f>'ASP-301-1_DP'!D68</f>
        <v xml:space="preserve">D.-288 - Störung Kondensatpumpe </v>
      </c>
      <c r="K68" s="46"/>
      <c r="L68" s="47"/>
      <c r="M68" s="44"/>
      <c r="N68" s="23"/>
      <c r="P68"/>
      <c r="Q68"/>
    </row>
    <row r="69" spans="2:17" s="19" customFormat="1" ht="3" customHeight="1" x14ac:dyDescent="0.3">
      <c r="B69" s="48"/>
      <c r="C69" s="49"/>
      <c r="D69" s="49"/>
      <c r="E69" s="50"/>
      <c r="F69" s="45"/>
      <c r="G69" s="18"/>
      <c r="I69" s="24"/>
      <c r="J69" s="25"/>
      <c r="K69" s="25"/>
      <c r="L69" s="25"/>
      <c r="M69" s="45"/>
      <c r="N69" s="18"/>
    </row>
    <row r="70" spans="2:17" ht="11.7" customHeight="1" x14ac:dyDescent="0.3"/>
    <row r="71" spans="2:17" s="19" customFormat="1" ht="3" customHeight="1" x14ac:dyDescent="0.3">
      <c r="B71" s="48"/>
      <c r="C71" s="49"/>
      <c r="D71" s="49"/>
      <c r="E71" s="50"/>
      <c r="F71" s="43" t="str">
        <f>'ASP-301-1_DP'!C69</f>
        <v>M7 UI-16</v>
      </c>
      <c r="G71" s="18"/>
      <c r="I71" s="20"/>
      <c r="J71" s="21"/>
      <c r="K71" s="21"/>
      <c r="L71" s="21"/>
      <c r="M71" s="43" t="str">
        <f>F71</f>
        <v>M7 UI-16</v>
      </c>
      <c r="N71" s="18"/>
    </row>
    <row r="72" spans="2:17" s="19" customFormat="1" ht="9" customHeight="1" x14ac:dyDescent="0.3">
      <c r="B72" s="31" t="s">
        <v>45</v>
      </c>
      <c r="C72" s="46" t="str">
        <f>'ASP-301-1_DP'!D70</f>
        <v>D.-207 - Istwert ZUL VVR</v>
      </c>
      <c r="D72" s="46"/>
      <c r="E72" s="47"/>
      <c r="F72" s="44"/>
      <c r="G72" s="23"/>
      <c r="I72" s="31" t="s">
        <v>53</v>
      </c>
      <c r="J72" s="46" t="str">
        <f>'ASP-301-1_DP'!D78</f>
        <v>D.-274 - Istwert ZUL VVR</v>
      </c>
      <c r="K72" s="46"/>
      <c r="L72" s="47"/>
      <c r="M72" s="44"/>
      <c r="N72" s="23"/>
      <c r="P72"/>
      <c r="Q72"/>
    </row>
    <row r="73" spans="2:17" s="19" customFormat="1" ht="9" customHeight="1" x14ac:dyDescent="0.3">
      <c r="B73" s="31" t="s">
        <v>46</v>
      </c>
      <c r="C73" s="46" t="str">
        <f>'ASP-301-1_DP'!D71</f>
        <v>D.-207 - Istwert ZUL VVR</v>
      </c>
      <c r="D73" s="46"/>
      <c r="E73" s="47"/>
      <c r="F73" s="44"/>
      <c r="G73" s="23"/>
      <c r="I73" s="31" t="s">
        <v>54</v>
      </c>
      <c r="J73" s="46" t="str">
        <f>'ASP-301-1_DP'!D79</f>
        <v>D.-272 - Istwert ZUL VVR</v>
      </c>
      <c r="K73" s="46"/>
      <c r="L73" s="47"/>
      <c r="M73" s="44"/>
      <c r="N73" s="23"/>
      <c r="P73"/>
      <c r="Q73"/>
    </row>
    <row r="74" spans="2:17" s="19" customFormat="1" ht="9" customHeight="1" x14ac:dyDescent="0.3">
      <c r="B74" s="31" t="s">
        <v>47</v>
      </c>
      <c r="C74" s="46" t="str">
        <f>'ASP-301-1_DP'!D72</f>
        <v>D.-209 - Istwert ZUL VVR</v>
      </c>
      <c r="D74" s="46"/>
      <c r="E74" s="47"/>
      <c r="F74" s="44"/>
      <c r="G74" s="23"/>
      <c r="I74" s="31" t="s">
        <v>55</v>
      </c>
      <c r="J74" s="46" t="str">
        <f>'ASP-301-1_DP'!D80</f>
        <v>D.-275 - Istwert ZUL VVR</v>
      </c>
      <c r="K74" s="46"/>
      <c r="L74" s="47"/>
      <c r="M74" s="44"/>
      <c r="N74" s="23"/>
      <c r="P74"/>
      <c r="Q74"/>
    </row>
    <row r="75" spans="2:17" s="19" customFormat="1" ht="9" customHeight="1" x14ac:dyDescent="0.3">
      <c r="B75" s="31" t="s">
        <v>48</v>
      </c>
      <c r="C75" s="46" t="str">
        <f>'ASP-301-1_DP'!D73</f>
        <v>D.-213 - Istwert ZUL VVR</v>
      </c>
      <c r="D75" s="46"/>
      <c r="E75" s="47"/>
      <c r="F75" s="44"/>
      <c r="G75" s="23"/>
      <c r="I75" s="31" t="s">
        <v>56</v>
      </c>
      <c r="J75" s="46" t="str">
        <f>'ASP-301-1_DP'!D81</f>
        <v>D.-288 - Istwert ZUL VVR</v>
      </c>
      <c r="K75" s="46"/>
      <c r="L75" s="47"/>
      <c r="M75" s="44"/>
      <c r="N75" s="23"/>
      <c r="P75"/>
      <c r="Q75"/>
    </row>
    <row r="76" spans="2:17" s="19" customFormat="1" ht="9" customHeight="1" x14ac:dyDescent="0.3">
      <c r="B76" s="31" t="s">
        <v>49</v>
      </c>
      <c r="C76" s="46" t="str">
        <f>'ASP-301-1_DP'!D74</f>
        <v>D.-217 - Istwert ZUL VVR</v>
      </c>
      <c r="D76" s="46"/>
      <c r="E76" s="47"/>
      <c r="F76" s="44"/>
      <c r="G76" s="23"/>
      <c r="I76" s="31" t="s">
        <v>57</v>
      </c>
      <c r="J76" s="46" t="str">
        <f>'ASP-301-1_DP'!D82</f>
        <v>D.-205 - Istwert Abluftfeuchte</v>
      </c>
      <c r="K76" s="46"/>
      <c r="L76" s="47"/>
      <c r="M76" s="44"/>
      <c r="N76" s="23"/>
      <c r="P76"/>
      <c r="Q76"/>
    </row>
    <row r="77" spans="2:17" s="19" customFormat="1" ht="9" customHeight="1" x14ac:dyDescent="0.3">
      <c r="B77" s="31" t="s">
        <v>50</v>
      </c>
      <c r="C77" s="46" t="str">
        <f>'ASP-301-1_DP'!D75</f>
        <v>D.-221 - Istwert ZUL VVR</v>
      </c>
      <c r="D77" s="46"/>
      <c r="E77" s="47"/>
      <c r="F77" s="44"/>
      <c r="G77" s="23"/>
      <c r="I77" s="31" t="s">
        <v>58</v>
      </c>
      <c r="J77" s="46" t="str">
        <f>'ASP-301-1_DP'!D83</f>
        <v>D.-285 - Istwert Abluftfeuchte</v>
      </c>
      <c r="K77" s="46"/>
      <c r="L77" s="47"/>
      <c r="M77" s="44"/>
      <c r="N77" s="23"/>
      <c r="P77"/>
      <c r="Q77"/>
    </row>
    <row r="78" spans="2:17" s="19" customFormat="1" ht="9" customHeight="1" x14ac:dyDescent="0.3">
      <c r="B78" s="31" t="s">
        <v>51</v>
      </c>
      <c r="C78" s="46" t="str">
        <f>'ASP-301-1_DP'!D76</f>
        <v>D.-233 - Istwert ZUL VVR</v>
      </c>
      <c r="D78" s="46"/>
      <c r="E78" s="47"/>
      <c r="F78" s="44"/>
      <c r="G78" s="23"/>
      <c r="I78" s="31" t="s">
        <v>59</v>
      </c>
      <c r="J78" s="46" t="str">
        <f>'ASP-301-1_DP'!D84</f>
        <v>D.-205 - Istwert Ablufttemperatur</v>
      </c>
      <c r="K78" s="46"/>
      <c r="L78" s="47"/>
      <c r="M78" s="44"/>
      <c r="N78" s="23"/>
      <c r="P78"/>
      <c r="Q78"/>
    </row>
    <row r="79" spans="2:17" s="19" customFormat="1" ht="9" customHeight="1" x14ac:dyDescent="0.3">
      <c r="B79" s="31" t="s">
        <v>52</v>
      </c>
      <c r="C79" s="46" t="str">
        <f>'ASP-301-1_DP'!D77</f>
        <v>D.-227 - Istwert ZUL VVR</v>
      </c>
      <c r="D79" s="46"/>
      <c r="E79" s="47"/>
      <c r="F79" s="44"/>
      <c r="G79" s="23"/>
      <c r="I79" s="31" t="s">
        <v>60</v>
      </c>
      <c r="J79" s="46" t="str">
        <f>'ASP-301-1_DP'!D85</f>
        <v>D.-285 - Istwert Ablufttemperatur</v>
      </c>
      <c r="K79" s="46"/>
      <c r="L79" s="47"/>
      <c r="M79" s="44"/>
      <c r="N79" s="23"/>
      <c r="P79"/>
      <c r="Q79"/>
    </row>
    <row r="80" spans="2:17" s="19" customFormat="1" ht="3" customHeight="1" x14ac:dyDescent="0.3">
      <c r="B80" s="48"/>
      <c r="C80" s="49"/>
      <c r="D80" s="49"/>
      <c r="E80" s="50"/>
      <c r="F80" s="45"/>
      <c r="G80" s="18"/>
      <c r="I80" s="24"/>
      <c r="J80" s="25"/>
      <c r="K80" s="25"/>
      <c r="L80" s="25"/>
      <c r="M80" s="45"/>
      <c r="N80" s="18"/>
    </row>
    <row r="81" spans="2:17" ht="11.7" customHeight="1" x14ac:dyDescent="0.3"/>
    <row r="82" spans="2:17" s="19" customFormat="1" ht="3" customHeight="1" x14ac:dyDescent="0.3">
      <c r="B82" s="48"/>
      <c r="C82" s="49"/>
      <c r="D82" s="49"/>
      <c r="E82" s="50"/>
      <c r="F82" s="43" t="str">
        <f>'ASP-301-1_DP'!C86</f>
        <v>M8 UI-16</v>
      </c>
      <c r="G82" s="18"/>
      <c r="I82" s="20"/>
      <c r="J82" s="21"/>
      <c r="K82" s="21"/>
      <c r="L82" s="21"/>
      <c r="M82" s="43" t="str">
        <f>F82</f>
        <v>M8 UI-16</v>
      </c>
      <c r="N82" s="18"/>
    </row>
    <row r="83" spans="2:17" s="19" customFormat="1" ht="9" customHeight="1" x14ac:dyDescent="0.3">
      <c r="B83" s="31" t="s">
        <v>45</v>
      </c>
      <c r="C83" s="46" t="str">
        <f>'ASP-301-1_DP'!D87</f>
        <v>D.-207 - Istwert ABL VVR</v>
      </c>
      <c r="D83" s="46"/>
      <c r="E83" s="47"/>
      <c r="F83" s="44"/>
      <c r="G83" s="23"/>
      <c r="I83" s="31" t="s">
        <v>53</v>
      </c>
      <c r="J83" s="46" t="str">
        <f>'ASP-301-1_DP'!D95</f>
        <v>D.-205 - Istwert ABL VVR</v>
      </c>
      <c r="K83" s="46"/>
      <c r="L83" s="47"/>
      <c r="M83" s="44"/>
      <c r="N83" s="23"/>
      <c r="P83"/>
      <c r="Q83"/>
    </row>
    <row r="84" spans="2:17" s="19" customFormat="1" ht="9" customHeight="1" x14ac:dyDescent="0.3">
      <c r="B84" s="31" t="s">
        <v>46</v>
      </c>
      <c r="C84" s="46" t="str">
        <f>'ASP-301-1_DP'!D88</f>
        <v>D.-207 - Istwert ABL VVR</v>
      </c>
      <c r="D84" s="46"/>
      <c r="E84" s="47"/>
      <c r="F84" s="44"/>
      <c r="G84" s="23"/>
      <c r="I84" s="31" t="s">
        <v>54</v>
      </c>
      <c r="J84" s="46" t="str">
        <f>'ASP-301-1_DP'!D96</f>
        <v>D.-272 - Istwert ABL VVR</v>
      </c>
      <c r="K84" s="46"/>
      <c r="L84" s="47"/>
      <c r="M84" s="44"/>
      <c r="N84" s="23"/>
      <c r="P84"/>
      <c r="Q84"/>
    </row>
    <row r="85" spans="2:17" s="19" customFormat="1" ht="9" customHeight="1" x14ac:dyDescent="0.3">
      <c r="B85" s="31" t="s">
        <v>47</v>
      </c>
      <c r="C85" s="46" t="str">
        <f>'ASP-301-1_DP'!D89</f>
        <v>D.-209 - Istwert ABL VVR</v>
      </c>
      <c r="D85" s="46"/>
      <c r="E85" s="47"/>
      <c r="F85" s="44"/>
      <c r="G85" s="23"/>
      <c r="I85" s="31" t="s">
        <v>55</v>
      </c>
      <c r="J85" s="46" t="str">
        <f>'ASP-301-1_DP'!D97</f>
        <v>D.-285 - Istwert ABL VVR</v>
      </c>
      <c r="K85" s="46"/>
      <c r="L85" s="47"/>
      <c r="M85" s="44"/>
      <c r="N85" s="23"/>
      <c r="P85"/>
      <c r="Q85"/>
    </row>
    <row r="86" spans="2:17" s="19" customFormat="1" ht="9" customHeight="1" x14ac:dyDescent="0.3">
      <c r="B86" s="31" t="s">
        <v>48</v>
      </c>
      <c r="C86" s="46" t="str">
        <f>'ASP-301-1_DP'!D90</f>
        <v>D.-213 - Istwert ABL VVR</v>
      </c>
      <c r="D86" s="46"/>
      <c r="E86" s="47"/>
      <c r="F86" s="44"/>
      <c r="G86" s="23"/>
      <c r="I86" s="31" t="s">
        <v>56</v>
      </c>
      <c r="J86" s="46" t="str">
        <f>'ASP-301-1_DP'!D98</f>
        <v>D.-275 - Istwert ABL VVR</v>
      </c>
      <c r="K86" s="46"/>
      <c r="L86" s="47"/>
      <c r="M86" s="44"/>
      <c r="N86" s="23"/>
      <c r="P86"/>
      <c r="Q86"/>
    </row>
    <row r="87" spans="2:17" s="19" customFormat="1" ht="9" customHeight="1" x14ac:dyDescent="0.3">
      <c r="B87" s="31" t="s">
        <v>49</v>
      </c>
      <c r="C87" s="46" t="str">
        <f>'ASP-301-1_DP'!D91</f>
        <v>D.-217 - Istwert ABL VVR</v>
      </c>
      <c r="D87" s="46"/>
      <c r="E87" s="47"/>
      <c r="F87" s="44"/>
      <c r="G87" s="23"/>
      <c r="I87" s="31" t="s">
        <v>57</v>
      </c>
      <c r="J87" s="46" t="str">
        <f>'ASP-301-1_DP'!D99</f>
        <v>D.-288 - Istwert ABL VVR</v>
      </c>
      <c r="K87" s="46"/>
      <c r="L87" s="47"/>
      <c r="M87" s="44"/>
      <c r="N87" s="23"/>
      <c r="P87"/>
      <c r="Q87"/>
    </row>
    <row r="88" spans="2:17" s="19" customFormat="1" ht="9" customHeight="1" x14ac:dyDescent="0.3">
      <c r="B88" s="31" t="s">
        <v>50</v>
      </c>
      <c r="C88" s="46" t="str">
        <f>'ASP-301-1_DP'!D92</f>
        <v>D.-221 - Istwert ABL VVR</v>
      </c>
      <c r="D88" s="46"/>
      <c r="E88" s="47"/>
      <c r="F88" s="44"/>
      <c r="G88" s="23"/>
      <c r="I88" s="31" t="s">
        <v>58</v>
      </c>
      <c r="J88" s="46" t="str">
        <f>'ASP-301-1_DP'!D100</f>
        <v>D.-207 - Istwert 6-Wege Ventil</v>
      </c>
      <c r="K88" s="46"/>
      <c r="L88" s="47"/>
      <c r="M88" s="44"/>
      <c r="N88" s="23"/>
      <c r="P88"/>
      <c r="Q88"/>
    </row>
    <row r="89" spans="2:17" s="19" customFormat="1" ht="9" customHeight="1" x14ac:dyDescent="0.3">
      <c r="B89" s="31" t="s">
        <v>51</v>
      </c>
      <c r="C89" s="46" t="str">
        <f>'ASP-301-1_DP'!D93</f>
        <v>D.-227 - Istwert ABL VVR</v>
      </c>
      <c r="D89" s="46"/>
      <c r="E89" s="47"/>
      <c r="F89" s="44"/>
      <c r="G89" s="23"/>
      <c r="I89" s="31" t="s">
        <v>59</v>
      </c>
      <c r="J89" s="46">
        <f>'ASP-301-1_DP'!D101</f>
        <v>0</v>
      </c>
      <c r="K89" s="46"/>
      <c r="L89" s="47"/>
      <c r="M89" s="44"/>
      <c r="N89" s="23"/>
      <c r="P89"/>
      <c r="Q89"/>
    </row>
    <row r="90" spans="2:17" s="19" customFormat="1" ht="9" customHeight="1" x14ac:dyDescent="0.3">
      <c r="B90" s="31" t="s">
        <v>52</v>
      </c>
      <c r="C90" s="46" t="str">
        <f>'ASP-301-1_DP'!D94</f>
        <v>D.-233 - Istwert ABL VVR</v>
      </c>
      <c r="D90" s="46"/>
      <c r="E90" s="47"/>
      <c r="F90" s="44"/>
      <c r="G90" s="23"/>
      <c r="I90" s="31" t="s">
        <v>60</v>
      </c>
      <c r="J90" s="46">
        <f>'ASP-301-1_DP'!D102</f>
        <v>0</v>
      </c>
      <c r="K90" s="46"/>
      <c r="L90" s="47"/>
      <c r="M90" s="44"/>
      <c r="N90" s="23"/>
      <c r="P90"/>
      <c r="Q90"/>
    </row>
    <row r="91" spans="2:17" s="19" customFormat="1" ht="3" customHeight="1" x14ac:dyDescent="0.3">
      <c r="B91" s="48"/>
      <c r="C91" s="49"/>
      <c r="D91" s="49"/>
      <c r="E91" s="50"/>
      <c r="F91" s="45"/>
      <c r="G91" s="18"/>
      <c r="I91" s="24"/>
      <c r="J91" s="25"/>
      <c r="K91" s="25"/>
      <c r="L91" s="25"/>
      <c r="M91" s="45"/>
      <c r="N91" s="18"/>
    </row>
    <row r="92" spans="2:17" s="19" customFormat="1" ht="12.75" customHeight="1" x14ac:dyDescent="0.3">
      <c r="B92" s="18"/>
      <c r="C92" s="18"/>
      <c r="D92" s="18"/>
      <c r="E92" s="18"/>
      <c r="F92" s="18"/>
      <c r="G92" s="18"/>
      <c r="I92" s="18"/>
      <c r="J92" s="18"/>
      <c r="K92" s="18"/>
      <c r="L92" s="18"/>
      <c r="M92" s="18"/>
      <c r="N92" s="18"/>
    </row>
    <row r="93" spans="2:17" s="19" customFormat="1" ht="3" customHeight="1" x14ac:dyDescent="0.3">
      <c r="B93" s="40"/>
      <c r="C93" s="41"/>
      <c r="D93" s="41"/>
      <c r="E93" s="41"/>
      <c r="F93" s="43" t="str">
        <f>'ASP-301-1_DP'!C103</f>
        <v>M9 AO-V-8</v>
      </c>
      <c r="G93" s="18"/>
      <c r="I93" s="20"/>
      <c r="J93" s="21"/>
      <c r="K93" s="21"/>
      <c r="L93" s="21"/>
      <c r="M93" s="43" t="str">
        <f>F93</f>
        <v>M9 AO-V-8</v>
      </c>
      <c r="N93" s="18"/>
    </row>
    <row r="94" spans="2:17" s="19" customFormat="1" ht="18" customHeight="1" x14ac:dyDescent="0.3">
      <c r="B94" s="22" t="s">
        <v>45</v>
      </c>
      <c r="C94" s="47" t="str">
        <f>'ASP-301-1_DP'!D104</f>
        <v>D.-207 - Signal FCU</v>
      </c>
      <c r="D94" s="51"/>
      <c r="E94" s="52"/>
      <c r="F94" s="44"/>
      <c r="G94" s="23"/>
      <c r="I94" s="22" t="s">
        <v>49</v>
      </c>
      <c r="J94" s="47" t="str">
        <f>'ASP-301-1_DP'!D108</f>
        <v>D.-209 - Signal ZUL VVR</v>
      </c>
      <c r="K94" s="51"/>
      <c r="L94" s="52"/>
      <c r="M94" s="44"/>
      <c r="N94" s="23"/>
    </row>
    <row r="95" spans="2:17" s="19" customFormat="1" ht="18" customHeight="1" x14ac:dyDescent="0.3">
      <c r="B95" s="22" t="s">
        <v>46</v>
      </c>
      <c r="C95" s="47" t="str">
        <f>'ASP-301-1_DP'!D105</f>
        <v>D.-207 - Signal FCU</v>
      </c>
      <c r="D95" s="51"/>
      <c r="E95" s="52"/>
      <c r="F95" s="44"/>
      <c r="G95" s="23"/>
      <c r="I95" s="22" t="s">
        <v>50</v>
      </c>
      <c r="J95" s="47" t="str">
        <f>'ASP-301-1_DP'!D109</f>
        <v>D.-209 - Signal ABL VVR</v>
      </c>
      <c r="K95" s="51"/>
      <c r="L95" s="52"/>
      <c r="M95" s="44"/>
      <c r="N95" s="23"/>
    </row>
    <row r="96" spans="2:17" s="19" customFormat="1" ht="18" customHeight="1" x14ac:dyDescent="0.3">
      <c r="B96" s="22" t="s">
        <v>47</v>
      </c>
      <c r="C96" s="47" t="str">
        <f>'ASP-301-1_DP'!D106</f>
        <v>D.-207 - Signal FCU</v>
      </c>
      <c r="D96" s="51"/>
      <c r="E96" s="52"/>
      <c r="F96" s="44"/>
      <c r="G96" s="23"/>
      <c r="I96" s="22" t="s">
        <v>51</v>
      </c>
      <c r="J96" s="47" t="str">
        <f>'ASP-301-1_DP'!D110</f>
        <v>D.-207 - Signal HZG/KLG Ventil</v>
      </c>
      <c r="K96" s="51"/>
      <c r="L96" s="52"/>
      <c r="M96" s="44"/>
      <c r="N96" s="23"/>
    </row>
    <row r="97" spans="2:14" s="19" customFormat="1" ht="18" customHeight="1" x14ac:dyDescent="0.3">
      <c r="B97" s="42" t="s">
        <v>48</v>
      </c>
      <c r="C97" s="47" t="str">
        <f>'ASP-301-1_DP'!D107</f>
        <v>D.-207 - Signal FCU</v>
      </c>
      <c r="D97" s="51"/>
      <c r="E97" s="52"/>
      <c r="F97" s="44"/>
      <c r="G97" s="23"/>
      <c r="I97" s="22" t="s">
        <v>52</v>
      </c>
      <c r="J97" s="47" t="str">
        <f>'ASP-301-1_DP'!D111</f>
        <v>D.-207 - Signal 6-Wege Ventil</v>
      </c>
      <c r="K97" s="51"/>
      <c r="L97" s="52"/>
      <c r="M97" s="44"/>
      <c r="N97" s="23"/>
    </row>
    <row r="98" spans="2:14" s="19" customFormat="1" ht="3" customHeight="1" x14ac:dyDescent="0.3">
      <c r="B98" s="40"/>
      <c r="C98" s="41"/>
      <c r="D98" s="41"/>
      <c r="E98" s="41"/>
      <c r="F98" s="45"/>
      <c r="G98" s="18"/>
      <c r="I98" s="24"/>
      <c r="J98" s="25"/>
      <c r="K98" s="25"/>
      <c r="L98" s="25"/>
      <c r="M98" s="45"/>
      <c r="N98" s="18"/>
    </row>
    <row r="99" spans="2:14" s="19" customFormat="1" ht="12.75" customHeight="1" x14ac:dyDescent="0.3">
      <c r="B99" s="18"/>
      <c r="C99" s="18"/>
      <c r="D99" s="18"/>
      <c r="E99" s="18"/>
      <c r="F99" s="18"/>
      <c r="G99" s="18"/>
      <c r="I99" s="18"/>
      <c r="J99" s="18"/>
      <c r="K99" s="18"/>
      <c r="L99" s="18"/>
      <c r="M99" s="18"/>
      <c r="N99" s="18"/>
    </row>
    <row r="100" spans="2:14" s="19" customFormat="1" ht="3" customHeight="1" x14ac:dyDescent="0.3">
      <c r="B100" s="40"/>
      <c r="C100" s="41"/>
      <c r="D100" s="41"/>
      <c r="E100" s="41"/>
      <c r="F100" s="43" t="str">
        <f>'ASP-301-1_DP'!C112</f>
        <v>M10 AO-V-8</v>
      </c>
      <c r="G100" s="18"/>
      <c r="I100" s="20"/>
      <c r="J100" s="21"/>
      <c r="K100" s="21"/>
      <c r="L100" s="21"/>
      <c r="M100" s="43" t="str">
        <f>F100</f>
        <v>M10 AO-V-8</v>
      </c>
      <c r="N100" s="18"/>
    </row>
    <row r="101" spans="2:14" s="19" customFormat="1" ht="18" customHeight="1" x14ac:dyDescent="0.3">
      <c r="B101" s="22" t="s">
        <v>45</v>
      </c>
      <c r="C101" s="47" t="str">
        <f>'ASP-301-1_DP'!D113</f>
        <v>D.-207 - Signal HZG/KLG Ventil</v>
      </c>
      <c r="D101" s="51"/>
      <c r="E101" s="52"/>
      <c r="F101" s="44"/>
      <c r="G101" s="23"/>
      <c r="I101" s="22" t="s">
        <v>49</v>
      </c>
      <c r="J101" s="47" t="str">
        <f>'ASP-301-1_DP'!D117</f>
        <v>D.-207 - Signal ABL VVR</v>
      </c>
      <c r="K101" s="51"/>
      <c r="L101" s="52"/>
      <c r="M101" s="44"/>
      <c r="N101" s="23"/>
    </row>
    <row r="102" spans="2:14" s="19" customFormat="1" ht="18" customHeight="1" x14ac:dyDescent="0.3">
      <c r="B102" s="22" t="s">
        <v>46</v>
      </c>
      <c r="C102" s="47" t="str">
        <f>'ASP-301-1_DP'!D114</f>
        <v>D.-207 - Signal HZG/KLG Ventil</v>
      </c>
      <c r="D102" s="51"/>
      <c r="E102" s="52"/>
      <c r="F102" s="44"/>
      <c r="G102" s="23"/>
      <c r="I102" s="22" t="s">
        <v>50</v>
      </c>
      <c r="J102" s="47" t="str">
        <f>'ASP-301-1_DP'!D118</f>
        <v>D.-207 - Signal ZUL VVR</v>
      </c>
      <c r="K102" s="51"/>
      <c r="L102" s="52"/>
      <c r="M102" s="44"/>
      <c r="N102" s="23"/>
    </row>
    <row r="103" spans="2:14" s="19" customFormat="1" ht="18" customHeight="1" x14ac:dyDescent="0.3">
      <c r="B103" s="22" t="s">
        <v>47</v>
      </c>
      <c r="C103" s="47" t="str">
        <f>'ASP-301-1_DP'!D115</f>
        <v>D.-207 - Signal HZG/KLG Ventil</v>
      </c>
      <c r="D103" s="51"/>
      <c r="E103" s="52"/>
      <c r="F103" s="44"/>
      <c r="G103" s="23"/>
      <c r="I103" s="22" t="s">
        <v>51</v>
      </c>
      <c r="J103" s="47" t="str">
        <f>'ASP-301-1_DP'!D119</f>
        <v>D.-207 - Signal ABL VVR</v>
      </c>
      <c r="K103" s="51"/>
      <c r="L103" s="52"/>
      <c r="M103" s="44"/>
      <c r="N103" s="23"/>
    </row>
    <row r="104" spans="2:14" s="19" customFormat="1" ht="18" customHeight="1" x14ac:dyDescent="0.3">
      <c r="B104" s="37" t="s">
        <v>48</v>
      </c>
      <c r="C104" s="47" t="str">
        <f>'ASP-301-1_DP'!D116</f>
        <v>D.-207 - Signal ZUL VVR</v>
      </c>
      <c r="D104" s="51"/>
      <c r="E104" s="52"/>
      <c r="F104" s="44"/>
      <c r="G104" s="23"/>
      <c r="I104" s="22" t="s">
        <v>52</v>
      </c>
      <c r="J104" s="47" t="str">
        <f>'ASP-301-1_DP'!D120</f>
        <v xml:space="preserve">Spannungsausgang_8 - </v>
      </c>
      <c r="K104" s="51"/>
      <c r="L104" s="52"/>
      <c r="M104" s="44"/>
      <c r="N104" s="23"/>
    </row>
    <row r="105" spans="2:14" s="19" customFormat="1" ht="3" customHeight="1" x14ac:dyDescent="0.3">
      <c r="B105" s="36"/>
      <c r="C105" s="34"/>
      <c r="D105" s="34"/>
      <c r="E105" s="34"/>
      <c r="F105" s="45"/>
      <c r="G105" s="18"/>
      <c r="I105" s="24"/>
      <c r="J105" s="25"/>
      <c r="K105" s="25"/>
      <c r="L105" s="25"/>
      <c r="M105" s="45"/>
      <c r="N105" s="18"/>
    </row>
    <row r="106" spans="2:14" s="19" customFormat="1" ht="12.75" customHeight="1" x14ac:dyDescent="0.3">
      <c r="B106" s="18"/>
      <c r="C106" s="18"/>
      <c r="D106" s="18"/>
      <c r="E106" s="18"/>
      <c r="F106" s="18"/>
      <c r="G106" s="18"/>
      <c r="I106" s="18"/>
      <c r="J106" s="18"/>
      <c r="K106" s="18"/>
      <c r="L106" s="18"/>
      <c r="M106" s="18"/>
      <c r="N106" s="18"/>
    </row>
    <row r="107" spans="2:14" s="19" customFormat="1" ht="3" customHeight="1" x14ac:dyDescent="0.3">
      <c r="B107" s="40"/>
      <c r="C107" s="41"/>
      <c r="D107" s="41"/>
      <c r="E107" s="41"/>
      <c r="F107" s="43" t="str">
        <f>'ASP-301-1_DP'!C121</f>
        <v>M11 AO-V-8</v>
      </c>
      <c r="G107" s="18"/>
      <c r="I107" s="20"/>
      <c r="J107" s="21"/>
      <c r="K107" s="21"/>
      <c r="L107" s="21"/>
      <c r="M107" s="43" t="str">
        <f>F107</f>
        <v>M11 AO-V-8</v>
      </c>
      <c r="N107" s="18"/>
    </row>
    <row r="108" spans="2:14" s="19" customFormat="1" ht="18" customHeight="1" x14ac:dyDescent="0.3">
      <c r="B108" s="22" t="s">
        <v>45</v>
      </c>
      <c r="C108" s="47" t="str">
        <f>'ASP-301-1_DP'!D122</f>
        <v>D.-210 - Signal FCU</v>
      </c>
      <c r="D108" s="51"/>
      <c r="E108" s="52"/>
      <c r="F108" s="44"/>
      <c r="G108" s="23"/>
      <c r="I108" s="22" t="s">
        <v>49</v>
      </c>
      <c r="J108" s="47" t="str">
        <f>'ASP-301-1_DP'!D126</f>
        <v>D.-218 - Signal FCU</v>
      </c>
      <c r="K108" s="51"/>
      <c r="L108" s="52"/>
      <c r="M108" s="44"/>
      <c r="N108" s="23"/>
    </row>
    <row r="109" spans="2:14" s="19" customFormat="1" ht="18" customHeight="1" x14ac:dyDescent="0.3">
      <c r="B109" s="22" t="s">
        <v>46</v>
      </c>
      <c r="C109" s="47" t="str">
        <f>'ASP-301-1_DP'!D123</f>
        <v>D.-211 - Signal FCU</v>
      </c>
      <c r="D109" s="51"/>
      <c r="E109" s="52"/>
      <c r="F109" s="44"/>
      <c r="G109" s="23"/>
      <c r="I109" s="22" t="s">
        <v>50</v>
      </c>
      <c r="J109" s="47" t="str">
        <f>'ASP-301-1_DP'!D127</f>
        <v>D.-218 - Istwert FCU Heizventil</v>
      </c>
      <c r="K109" s="51"/>
      <c r="L109" s="52"/>
      <c r="M109" s="44"/>
      <c r="N109" s="23"/>
    </row>
    <row r="110" spans="2:14" s="19" customFormat="1" ht="18" customHeight="1" x14ac:dyDescent="0.3">
      <c r="B110" s="22" t="s">
        <v>47</v>
      </c>
      <c r="C110" s="47" t="str">
        <f>'ASP-301-1_DP'!D124</f>
        <v>D.-211 - Signal FCU</v>
      </c>
      <c r="D110" s="51"/>
      <c r="E110" s="52"/>
      <c r="F110" s="44"/>
      <c r="G110" s="23"/>
      <c r="I110" s="22" t="s">
        <v>51</v>
      </c>
      <c r="J110" s="47" t="str">
        <f>'ASP-301-1_DP'!D128</f>
        <v>D.-210 - Signal FCU Kälteventil</v>
      </c>
      <c r="K110" s="51"/>
      <c r="L110" s="52"/>
      <c r="M110" s="44"/>
      <c r="N110" s="23"/>
    </row>
    <row r="111" spans="2:14" s="19" customFormat="1" ht="18" customHeight="1" x14ac:dyDescent="0.3">
      <c r="B111" s="42" t="s">
        <v>48</v>
      </c>
      <c r="C111" s="47" t="str">
        <f>'ASP-301-1_DP'!D125</f>
        <v>D.-212 - Signal FCU</v>
      </c>
      <c r="D111" s="51"/>
      <c r="E111" s="52"/>
      <c r="F111" s="44"/>
      <c r="G111" s="23"/>
      <c r="I111" s="22" t="s">
        <v>52</v>
      </c>
      <c r="J111" s="47" t="str">
        <f>'ASP-301-1_DP'!D129</f>
        <v>D.-211 - Signal FCU Heizventil</v>
      </c>
      <c r="K111" s="51"/>
      <c r="L111" s="52"/>
      <c r="M111" s="44"/>
      <c r="N111" s="23"/>
    </row>
    <row r="112" spans="2:14" s="19" customFormat="1" ht="3" customHeight="1" x14ac:dyDescent="0.3">
      <c r="B112" s="40"/>
      <c r="C112" s="41"/>
      <c r="D112" s="41"/>
      <c r="E112" s="41"/>
      <c r="F112" s="45"/>
      <c r="G112" s="18"/>
      <c r="I112" s="24"/>
      <c r="J112" s="25"/>
      <c r="K112" s="25"/>
      <c r="L112" s="25"/>
      <c r="M112" s="45"/>
      <c r="N112" s="18"/>
    </row>
    <row r="113" spans="2:14" s="19" customFormat="1" ht="12.75" customHeight="1" x14ac:dyDescent="0.3">
      <c r="B113" s="18"/>
      <c r="C113" s="18"/>
      <c r="D113" s="18"/>
      <c r="E113" s="18"/>
      <c r="F113" s="18"/>
      <c r="G113" s="18"/>
      <c r="I113" s="18"/>
      <c r="J113" s="18"/>
      <c r="K113" s="18"/>
      <c r="L113" s="18"/>
      <c r="M113" s="18"/>
      <c r="N113" s="18"/>
    </row>
    <row r="114" spans="2:14" s="19" customFormat="1" ht="3" customHeight="1" x14ac:dyDescent="0.3">
      <c r="B114" s="40"/>
      <c r="C114" s="41"/>
      <c r="D114" s="41"/>
      <c r="E114" s="41"/>
      <c r="F114" s="43" t="str">
        <f>'ASP-301-1_DP'!C130</f>
        <v>M12 AO-V-8</v>
      </c>
      <c r="G114" s="18"/>
      <c r="I114" s="20"/>
      <c r="J114" s="21"/>
      <c r="K114" s="21"/>
      <c r="L114" s="21"/>
      <c r="M114" s="43" t="str">
        <f>F114</f>
        <v>M12 AO-V-8</v>
      </c>
      <c r="N114" s="18"/>
    </row>
    <row r="115" spans="2:14" s="19" customFormat="1" ht="18" customHeight="1" x14ac:dyDescent="0.3">
      <c r="B115" s="22" t="s">
        <v>45</v>
      </c>
      <c r="C115" s="47" t="str">
        <f>'ASP-301-1_DP'!D131</f>
        <v>D.-211 - Signal FCU Heizventil</v>
      </c>
      <c r="D115" s="51"/>
      <c r="E115" s="52"/>
      <c r="F115" s="44"/>
      <c r="G115" s="23"/>
      <c r="I115" s="22" t="s">
        <v>49</v>
      </c>
      <c r="J115" s="47">
        <f>'ASP-301-1_DP'!D135</f>
        <v>0</v>
      </c>
      <c r="K115" s="51"/>
      <c r="L115" s="52"/>
      <c r="M115" s="44"/>
      <c r="N115" s="23"/>
    </row>
    <row r="116" spans="2:14" s="19" customFormat="1" ht="18" customHeight="1" x14ac:dyDescent="0.3">
      <c r="B116" s="22" t="s">
        <v>46</v>
      </c>
      <c r="C116" s="47" t="str">
        <f>'ASP-301-1_DP'!D132</f>
        <v>D.-212 - Signal FCU Kälteventil</v>
      </c>
      <c r="D116" s="51"/>
      <c r="E116" s="52"/>
      <c r="F116" s="44"/>
      <c r="G116" s="23"/>
      <c r="I116" s="22" t="s">
        <v>50</v>
      </c>
      <c r="J116" s="47" t="str">
        <f>'ASP-301-1_DP'!D136</f>
        <v>D.-288 - Signal FCU Kälteventil</v>
      </c>
      <c r="K116" s="51"/>
      <c r="L116" s="52"/>
      <c r="M116" s="44"/>
      <c r="N116" s="23"/>
    </row>
    <row r="117" spans="2:14" s="19" customFormat="1" ht="18" customHeight="1" x14ac:dyDescent="0.3">
      <c r="B117" s="22" t="s">
        <v>47</v>
      </c>
      <c r="C117" s="47" t="str">
        <f>'ASP-301-1_DP'!D133</f>
        <v>D.-212 - Signal FCU Heizventil</v>
      </c>
      <c r="D117" s="51"/>
      <c r="E117" s="52"/>
      <c r="F117" s="44"/>
      <c r="G117" s="23"/>
      <c r="I117" s="22" t="s">
        <v>51</v>
      </c>
      <c r="J117" s="47" t="str">
        <f>'ASP-301-1_DP'!D137</f>
        <v>D.-288 - Signal FCU Heizventil</v>
      </c>
      <c r="K117" s="51"/>
      <c r="L117" s="52"/>
      <c r="M117" s="44"/>
      <c r="N117" s="23"/>
    </row>
    <row r="118" spans="2:14" s="19" customFormat="1" ht="18" customHeight="1" x14ac:dyDescent="0.3">
      <c r="B118" s="42" t="s">
        <v>48</v>
      </c>
      <c r="C118" s="47" t="str">
        <f>'ASP-301-1_DP'!D134</f>
        <v>D.-218 - Signal FCU Kälteventil</v>
      </c>
      <c r="D118" s="51"/>
      <c r="E118" s="52"/>
      <c r="F118" s="44"/>
      <c r="G118" s="23"/>
      <c r="I118" s="22" t="s">
        <v>52</v>
      </c>
      <c r="J118" s="47" t="str">
        <f>'ASP-301-1_DP'!D138</f>
        <v>D.-285 - Signal ABL VVR</v>
      </c>
      <c r="K118" s="51"/>
      <c r="L118" s="52"/>
      <c r="M118" s="44"/>
      <c r="N118" s="23"/>
    </row>
    <row r="119" spans="2:14" s="19" customFormat="1" ht="3" customHeight="1" x14ac:dyDescent="0.3">
      <c r="B119" s="40"/>
      <c r="C119" s="41"/>
      <c r="D119" s="41"/>
      <c r="E119" s="41"/>
      <c r="F119" s="45"/>
      <c r="G119" s="18"/>
      <c r="I119" s="24"/>
      <c r="J119" s="25"/>
      <c r="K119" s="25"/>
      <c r="L119" s="25"/>
      <c r="M119" s="45"/>
      <c r="N119" s="18"/>
    </row>
    <row r="120" spans="2:14" s="19" customFormat="1" ht="12.75" customHeight="1" x14ac:dyDescent="0.3">
      <c r="B120" s="18"/>
      <c r="C120" s="18"/>
      <c r="D120" s="18"/>
      <c r="E120" s="18"/>
      <c r="F120" s="18"/>
      <c r="G120" s="18"/>
      <c r="I120" s="18"/>
      <c r="J120" s="18"/>
      <c r="K120" s="18"/>
      <c r="L120" s="18"/>
      <c r="M120" s="18"/>
      <c r="N120" s="18"/>
    </row>
    <row r="121" spans="2:14" s="19" customFormat="1" ht="3" customHeight="1" x14ac:dyDescent="0.3">
      <c r="B121" s="40"/>
      <c r="C121" s="41"/>
      <c r="D121" s="41"/>
      <c r="E121" s="41"/>
      <c r="F121" s="43" t="str">
        <f>'ASP-301-1_DP'!C139</f>
        <v>M14 AO-V-8</v>
      </c>
      <c r="G121" s="18"/>
      <c r="I121" s="20"/>
      <c r="J121" s="21"/>
      <c r="K121" s="21"/>
      <c r="L121" s="21"/>
      <c r="M121" s="43" t="str">
        <f>F121</f>
        <v>M14 AO-V-8</v>
      </c>
      <c r="N121" s="18"/>
    </row>
    <row r="122" spans="2:14" s="19" customFormat="1" ht="18" customHeight="1" x14ac:dyDescent="0.3">
      <c r="B122" s="22" t="s">
        <v>45</v>
      </c>
      <c r="C122" s="47" t="str">
        <f>'ASP-301-1_DP'!D140</f>
        <v>D.-213 - Signal FCU</v>
      </c>
      <c r="D122" s="51"/>
      <c r="E122" s="52"/>
      <c r="F122" s="44"/>
      <c r="G122" s="23"/>
      <c r="I122" s="22" t="s">
        <v>49</v>
      </c>
      <c r="J122" s="47" t="str">
        <f>'ASP-301-1_DP'!D144</f>
        <v>D.-217 - Signal ZUL VVR</v>
      </c>
      <c r="K122" s="51"/>
      <c r="L122" s="52"/>
      <c r="M122" s="44"/>
      <c r="N122" s="23"/>
    </row>
    <row r="123" spans="2:14" s="19" customFormat="1" ht="18" customHeight="1" x14ac:dyDescent="0.3">
      <c r="B123" s="22" t="s">
        <v>46</v>
      </c>
      <c r="C123" s="47" t="str">
        <f>'ASP-301-1_DP'!D141</f>
        <v>D.-213 - Signal ZUL VVR</v>
      </c>
      <c r="D123" s="51"/>
      <c r="E123" s="52"/>
      <c r="F123" s="44"/>
      <c r="G123" s="23"/>
      <c r="I123" s="22" t="s">
        <v>50</v>
      </c>
      <c r="J123" s="47" t="str">
        <f>'ASP-301-1_DP'!D145</f>
        <v>D.-217 - Signal ABL VVR</v>
      </c>
      <c r="K123" s="51"/>
      <c r="L123" s="52"/>
      <c r="M123" s="44"/>
      <c r="N123" s="23"/>
    </row>
    <row r="124" spans="2:14" s="19" customFormat="1" ht="18" customHeight="1" x14ac:dyDescent="0.3">
      <c r="B124" s="22" t="s">
        <v>47</v>
      </c>
      <c r="C124" s="47" t="str">
        <f>'ASP-301-1_DP'!D142</f>
        <v>D.-213 - Signal ABL VVR</v>
      </c>
      <c r="D124" s="51"/>
      <c r="E124" s="52"/>
      <c r="F124" s="44"/>
      <c r="G124" s="23"/>
      <c r="I124" s="22" t="s">
        <v>51</v>
      </c>
      <c r="J124" s="47" t="str">
        <f>'ASP-301-1_DP'!D146</f>
        <v>D.-213 - Signal FCU Kälteventil</v>
      </c>
      <c r="K124" s="51"/>
      <c r="L124" s="52"/>
      <c r="M124" s="44"/>
      <c r="N124" s="23"/>
    </row>
    <row r="125" spans="2:14" s="19" customFormat="1" ht="18" customHeight="1" x14ac:dyDescent="0.3">
      <c r="B125" s="42" t="s">
        <v>48</v>
      </c>
      <c r="C125" s="47" t="str">
        <f>'ASP-301-1_DP'!D143</f>
        <v>D.-217 - Signal FCU</v>
      </c>
      <c r="D125" s="51"/>
      <c r="E125" s="52"/>
      <c r="F125" s="44"/>
      <c r="G125" s="23"/>
      <c r="I125" s="22" t="s">
        <v>52</v>
      </c>
      <c r="J125" s="47" t="str">
        <f>'ASP-301-1_DP'!D147</f>
        <v>D.-217 - Signal FCU Ventil</v>
      </c>
      <c r="K125" s="51"/>
      <c r="L125" s="52"/>
      <c r="M125" s="44"/>
      <c r="N125" s="23"/>
    </row>
    <row r="126" spans="2:14" s="19" customFormat="1" ht="3" customHeight="1" x14ac:dyDescent="0.3">
      <c r="B126" s="40"/>
      <c r="C126" s="41"/>
      <c r="D126" s="41"/>
      <c r="E126" s="41"/>
      <c r="F126" s="45"/>
      <c r="G126" s="18"/>
      <c r="I126" s="24"/>
      <c r="J126" s="25"/>
      <c r="K126" s="25"/>
      <c r="L126" s="25"/>
      <c r="M126" s="45"/>
      <c r="N126" s="18"/>
    </row>
    <row r="127" spans="2:14" s="19" customFormat="1" ht="12.75" customHeight="1" x14ac:dyDescent="0.3">
      <c r="B127" s="18"/>
      <c r="C127" s="18"/>
      <c r="D127" s="18"/>
      <c r="E127" s="18"/>
      <c r="F127" s="18"/>
      <c r="G127" s="18"/>
      <c r="I127" s="18"/>
      <c r="J127" s="18"/>
      <c r="K127" s="18"/>
      <c r="L127" s="18"/>
      <c r="M127" s="18"/>
      <c r="N127" s="18"/>
    </row>
    <row r="128" spans="2:14" s="19" customFormat="1" ht="3" customHeight="1" x14ac:dyDescent="0.3">
      <c r="B128" s="40"/>
      <c r="C128" s="41"/>
      <c r="D128" s="41"/>
      <c r="E128" s="41"/>
      <c r="F128" s="43" t="str">
        <f>'ASP-301-1_DP'!C148</f>
        <v>M15 AO-V-8</v>
      </c>
      <c r="G128" s="18"/>
      <c r="I128" s="20"/>
      <c r="J128" s="21"/>
      <c r="K128" s="21"/>
      <c r="L128" s="21"/>
      <c r="M128" s="43" t="str">
        <f>F128</f>
        <v>M15 AO-V-8</v>
      </c>
      <c r="N128" s="18"/>
    </row>
    <row r="129" spans="2:14" s="19" customFormat="1" ht="18" customHeight="1" x14ac:dyDescent="0.3">
      <c r="B129" s="22" t="s">
        <v>45</v>
      </c>
      <c r="C129" s="47" t="str">
        <f>'ASP-301-1_DP'!D149</f>
        <v>D.-220 - Signal FCU</v>
      </c>
      <c r="D129" s="51"/>
      <c r="E129" s="52"/>
      <c r="F129" s="44"/>
      <c r="G129" s="23"/>
      <c r="I129" s="22" t="s">
        <v>49</v>
      </c>
      <c r="J129" s="47" t="str">
        <f>'ASP-301-1_DP'!D153</f>
        <v>D.-220 - Signal FCU Kälteventil</v>
      </c>
      <c r="K129" s="51"/>
      <c r="L129" s="52"/>
      <c r="M129" s="44"/>
      <c r="N129" s="23"/>
    </row>
    <row r="130" spans="2:14" s="19" customFormat="1" ht="18" customHeight="1" x14ac:dyDescent="0.3">
      <c r="B130" s="22" t="s">
        <v>46</v>
      </c>
      <c r="C130" s="47" t="str">
        <f>'ASP-301-1_DP'!D150</f>
        <v>D.-221 - Signal FCU</v>
      </c>
      <c r="D130" s="51"/>
      <c r="E130" s="52"/>
      <c r="F130" s="44"/>
      <c r="G130" s="23"/>
      <c r="I130" s="22" t="s">
        <v>50</v>
      </c>
      <c r="J130" s="47" t="str">
        <f>'ASP-301-1_DP'!D154</f>
        <v>D.-220 - Signal FCU Heizventil</v>
      </c>
      <c r="K130" s="51"/>
      <c r="L130" s="52"/>
      <c r="M130" s="44"/>
      <c r="N130" s="23"/>
    </row>
    <row r="131" spans="2:14" s="19" customFormat="1" ht="18" customHeight="1" x14ac:dyDescent="0.3">
      <c r="B131" s="22" t="s">
        <v>47</v>
      </c>
      <c r="C131" s="47" t="str">
        <f>'ASP-301-1_DP'!D151</f>
        <v>D.-221 - Signal ZUL VVR</v>
      </c>
      <c r="D131" s="51"/>
      <c r="E131" s="52"/>
      <c r="F131" s="44"/>
      <c r="G131" s="23"/>
      <c r="I131" s="22" t="s">
        <v>51</v>
      </c>
      <c r="J131" s="47" t="str">
        <f>'ASP-301-1_DP'!D155</f>
        <v>D.-221 - Signal FCU Kälteventil</v>
      </c>
      <c r="K131" s="51"/>
      <c r="L131" s="52"/>
      <c r="M131" s="44"/>
      <c r="N131" s="23"/>
    </row>
    <row r="132" spans="2:14" s="19" customFormat="1" ht="18" customHeight="1" x14ac:dyDescent="0.3">
      <c r="B132" s="42" t="s">
        <v>48</v>
      </c>
      <c r="C132" s="47" t="str">
        <f>'ASP-301-1_DP'!D152</f>
        <v>D.-221 - Signal ABL VVR</v>
      </c>
      <c r="D132" s="51"/>
      <c r="E132" s="52"/>
      <c r="F132" s="44"/>
      <c r="G132" s="23"/>
      <c r="I132" s="22" t="s">
        <v>52</v>
      </c>
      <c r="J132" s="47" t="str">
        <f>'ASP-301-1_DP'!D156</f>
        <v>D.-221 - Signal FCU Heizventil</v>
      </c>
      <c r="K132" s="51"/>
      <c r="L132" s="52"/>
      <c r="M132" s="44"/>
      <c r="N132" s="23"/>
    </row>
    <row r="133" spans="2:14" s="19" customFormat="1" ht="3" customHeight="1" x14ac:dyDescent="0.3">
      <c r="B133" s="40"/>
      <c r="C133" s="41"/>
      <c r="D133" s="41"/>
      <c r="E133" s="41"/>
      <c r="F133" s="45"/>
      <c r="G133" s="18"/>
      <c r="I133" s="24"/>
      <c r="J133" s="25"/>
      <c r="K133" s="25"/>
      <c r="L133" s="25"/>
      <c r="M133" s="45"/>
      <c r="N133" s="18"/>
    </row>
    <row r="134" spans="2:14" s="19" customFormat="1" ht="12.75" customHeight="1" x14ac:dyDescent="0.3">
      <c r="B134" s="18"/>
      <c r="C134" s="18"/>
      <c r="D134" s="18"/>
      <c r="E134" s="18"/>
      <c r="F134" s="18"/>
      <c r="G134" s="18"/>
      <c r="I134" s="18"/>
      <c r="J134" s="18"/>
      <c r="K134" s="18"/>
      <c r="L134" s="18"/>
      <c r="M134" s="18"/>
      <c r="N134" s="18"/>
    </row>
    <row r="135" spans="2:14" s="19" customFormat="1" ht="3" customHeight="1" x14ac:dyDescent="0.3">
      <c r="B135" s="40"/>
      <c r="C135" s="41"/>
      <c r="D135" s="41"/>
      <c r="E135" s="41"/>
      <c r="F135" s="43" t="str">
        <f>'ASP-301-1_DP'!C157</f>
        <v>M16 AO-V-8</v>
      </c>
      <c r="G135" s="18"/>
      <c r="I135" s="20"/>
      <c r="J135" s="21"/>
      <c r="K135" s="21"/>
      <c r="L135" s="21"/>
      <c r="M135" s="43" t="str">
        <f>F135</f>
        <v>M16 AO-V-8</v>
      </c>
      <c r="N135" s="18"/>
    </row>
    <row r="136" spans="2:14" s="19" customFormat="1" ht="18" customHeight="1" x14ac:dyDescent="0.3">
      <c r="B136" s="22" t="s">
        <v>45</v>
      </c>
      <c r="C136" s="47" t="str">
        <f>'ASP-301-1_DP'!D158</f>
        <v>D.-227 - Signal FCU</v>
      </c>
      <c r="D136" s="51"/>
      <c r="E136" s="52"/>
      <c r="F136" s="44"/>
      <c r="G136" s="23"/>
      <c r="I136" s="22" t="s">
        <v>49</v>
      </c>
      <c r="J136" s="47" t="str">
        <f>'ASP-301-1_DP'!D162</f>
        <v>D.-2333 - Signal ABL VVR</v>
      </c>
      <c r="K136" s="51"/>
      <c r="L136" s="52"/>
      <c r="M136" s="44"/>
      <c r="N136" s="23"/>
    </row>
    <row r="137" spans="2:14" s="19" customFormat="1" ht="18" customHeight="1" x14ac:dyDescent="0.3">
      <c r="B137" s="22" t="s">
        <v>46</v>
      </c>
      <c r="C137" s="47" t="str">
        <f>'ASP-301-1_DP'!D159</f>
        <v>D.-227 - Signal ZUL VVR</v>
      </c>
      <c r="D137" s="51"/>
      <c r="E137" s="52"/>
      <c r="F137" s="44"/>
      <c r="G137" s="23"/>
      <c r="I137" s="22" t="s">
        <v>50</v>
      </c>
      <c r="J137" s="47" t="str">
        <f>'ASP-301-1_DP'!D163</f>
        <v>D.-227 - Signal FCU Kälteventil</v>
      </c>
      <c r="K137" s="51"/>
      <c r="L137" s="52"/>
      <c r="M137" s="44"/>
      <c r="N137" s="23"/>
    </row>
    <row r="138" spans="2:14" s="19" customFormat="1" ht="18" customHeight="1" x14ac:dyDescent="0.3">
      <c r="B138" s="22" t="s">
        <v>47</v>
      </c>
      <c r="C138" s="47" t="str">
        <f>'ASP-301-1_DP'!D160</f>
        <v>D.-227 - Signal ABL VVR</v>
      </c>
      <c r="D138" s="51"/>
      <c r="E138" s="52"/>
      <c r="F138" s="44"/>
      <c r="G138" s="23"/>
      <c r="I138" s="22" t="s">
        <v>51</v>
      </c>
      <c r="J138" s="47" t="str">
        <f>'ASP-301-1_DP'!D164</f>
        <v>D.-227 - Signal FCU Heizventil</v>
      </c>
      <c r="K138" s="51"/>
      <c r="L138" s="52"/>
      <c r="M138" s="44"/>
      <c r="N138" s="23"/>
    </row>
    <row r="139" spans="2:14" s="19" customFormat="1" ht="18" customHeight="1" x14ac:dyDescent="0.3">
      <c r="B139" s="42" t="s">
        <v>48</v>
      </c>
      <c r="C139" s="47" t="str">
        <f>'ASP-301-1_DP'!D161</f>
        <v>D.-233 - Signal ZUL VVR</v>
      </c>
      <c r="D139" s="51"/>
      <c r="E139" s="52"/>
      <c r="F139" s="44"/>
      <c r="G139" s="23"/>
      <c r="I139" s="22" t="s">
        <v>52</v>
      </c>
      <c r="J139" s="47" t="str">
        <f>'ASP-301-1_DP'!D165</f>
        <v xml:space="preserve">Spannungsausgang_3 - </v>
      </c>
      <c r="K139" s="51"/>
      <c r="L139" s="52"/>
      <c r="M139" s="44"/>
      <c r="N139" s="23"/>
    </row>
    <row r="140" spans="2:14" s="19" customFormat="1" ht="3" customHeight="1" x14ac:dyDescent="0.3">
      <c r="B140" s="40"/>
      <c r="C140" s="41"/>
      <c r="D140" s="41"/>
      <c r="E140" s="41"/>
      <c r="F140" s="45"/>
      <c r="G140" s="18"/>
      <c r="I140" s="24"/>
      <c r="J140" s="25"/>
      <c r="K140" s="25"/>
      <c r="L140" s="25"/>
      <c r="M140" s="45"/>
      <c r="N140" s="18"/>
    </row>
    <row r="141" spans="2:14" s="19" customFormat="1" ht="12.75" customHeight="1" x14ac:dyDescent="0.3">
      <c r="B141" s="18"/>
      <c r="C141" s="18"/>
      <c r="D141" s="18"/>
      <c r="E141" s="18"/>
      <c r="F141" s="18"/>
      <c r="G141" s="18"/>
      <c r="I141" s="18"/>
      <c r="J141" s="18"/>
      <c r="K141" s="18"/>
      <c r="L141" s="18"/>
      <c r="M141" s="18"/>
      <c r="N141" s="18"/>
    </row>
    <row r="142" spans="2:14" s="19" customFormat="1" ht="3" customHeight="1" x14ac:dyDescent="0.3">
      <c r="B142" s="40"/>
      <c r="C142" s="41"/>
      <c r="D142" s="41"/>
      <c r="E142" s="41"/>
      <c r="F142" s="43" t="str">
        <f>'ASP-301-1_DP'!C166</f>
        <v>M17 AO-V-8</v>
      </c>
      <c r="G142" s="18"/>
      <c r="I142" s="20"/>
      <c r="J142" s="21"/>
      <c r="K142" s="21"/>
      <c r="L142" s="21"/>
      <c r="M142" s="43" t="str">
        <f>F142</f>
        <v>M17 AO-V-8</v>
      </c>
      <c r="N142" s="18"/>
    </row>
    <row r="143" spans="2:14" s="19" customFormat="1" ht="18" customHeight="1" x14ac:dyDescent="0.3">
      <c r="B143" s="22" t="s">
        <v>45</v>
      </c>
      <c r="C143" s="47" t="str">
        <f>'ASP-301-1_DP'!D167</f>
        <v>D.-261 - Signal FCU</v>
      </c>
      <c r="D143" s="51"/>
      <c r="E143" s="52"/>
      <c r="F143" s="44"/>
      <c r="G143" s="23"/>
      <c r="I143" s="22" t="s">
        <v>49</v>
      </c>
      <c r="J143" s="47" t="str">
        <f>'ASP-301-1_DP'!D171</f>
        <v>D.-272 - Signal ABL VVR</v>
      </c>
      <c r="K143" s="51"/>
      <c r="L143" s="52"/>
      <c r="M143" s="44"/>
      <c r="N143" s="23"/>
    </row>
    <row r="144" spans="2:14" s="19" customFormat="1" ht="18" customHeight="1" x14ac:dyDescent="0.3">
      <c r="B144" s="22" t="s">
        <v>46</v>
      </c>
      <c r="C144" s="47" t="str">
        <f>'ASP-301-1_DP'!D168</f>
        <v>D.-261 - Signal FCU</v>
      </c>
      <c r="D144" s="51"/>
      <c r="E144" s="52"/>
      <c r="F144" s="44"/>
      <c r="G144" s="23"/>
      <c r="I144" s="22" t="s">
        <v>50</v>
      </c>
      <c r="J144" s="47" t="str">
        <f>'ASP-301-1_DP'!D172</f>
        <v>D.-261 - Signal FCU Kälteventil</v>
      </c>
      <c r="K144" s="51"/>
      <c r="L144" s="52"/>
      <c r="M144" s="44"/>
      <c r="N144" s="23"/>
    </row>
    <row r="145" spans="2:17" s="19" customFormat="1" ht="18" customHeight="1" x14ac:dyDescent="0.3">
      <c r="B145" s="22" t="s">
        <v>47</v>
      </c>
      <c r="C145" s="47" t="str">
        <f>'ASP-301-1_DP'!D169</f>
        <v>D.-205 - Signal ABL VVR</v>
      </c>
      <c r="D145" s="51"/>
      <c r="E145" s="52"/>
      <c r="F145" s="44"/>
      <c r="G145" s="23"/>
      <c r="I145" s="22" t="s">
        <v>51</v>
      </c>
      <c r="J145" s="47" t="str">
        <f>'ASP-301-1_DP'!D173</f>
        <v>D.-261 - Signal FCU Kälteventil</v>
      </c>
      <c r="K145" s="51"/>
      <c r="L145" s="52"/>
      <c r="M145" s="44"/>
      <c r="N145" s="23"/>
    </row>
    <row r="146" spans="2:17" s="19" customFormat="1" ht="18" customHeight="1" x14ac:dyDescent="0.3">
      <c r="B146" s="42" t="s">
        <v>48</v>
      </c>
      <c r="C146" s="47" t="str">
        <f>'ASP-301-1_DP'!D170</f>
        <v>D.-272 - Signal ZUL VVR</v>
      </c>
      <c r="D146" s="51"/>
      <c r="E146" s="52"/>
      <c r="F146" s="44"/>
      <c r="G146" s="23"/>
      <c r="I146" s="22" t="s">
        <v>52</v>
      </c>
      <c r="J146" s="47" t="str">
        <f>'ASP-301-1_DP'!D174</f>
        <v>D.-274 - Signal ZUL VVR</v>
      </c>
      <c r="K146" s="51"/>
      <c r="L146" s="52"/>
      <c r="M146" s="44"/>
      <c r="N146" s="23"/>
    </row>
    <row r="147" spans="2:17" s="19" customFormat="1" ht="3" customHeight="1" x14ac:dyDescent="0.3">
      <c r="B147" s="40"/>
      <c r="C147" s="41"/>
      <c r="D147" s="41"/>
      <c r="E147" s="41"/>
      <c r="F147" s="45"/>
      <c r="G147" s="18"/>
      <c r="I147" s="24"/>
      <c r="J147" s="25"/>
      <c r="K147" s="25"/>
      <c r="L147" s="25"/>
      <c r="M147" s="45"/>
      <c r="N147" s="18"/>
    </row>
    <row r="148" spans="2:17" s="19" customFormat="1" ht="12.75" customHeight="1" x14ac:dyDescent="0.3">
      <c r="B148" s="18"/>
      <c r="C148" s="18"/>
      <c r="D148" s="18"/>
      <c r="E148" s="18"/>
      <c r="F148" s="18"/>
      <c r="G148" s="18"/>
      <c r="I148" s="18"/>
      <c r="J148" s="18"/>
      <c r="K148" s="18"/>
      <c r="L148" s="18"/>
      <c r="M148" s="18"/>
      <c r="N148" s="18"/>
    </row>
    <row r="149" spans="2:17" s="19" customFormat="1" ht="3" customHeight="1" x14ac:dyDescent="0.3">
      <c r="B149" s="40"/>
      <c r="C149" s="41"/>
      <c r="D149" s="41"/>
      <c r="E149" s="41"/>
      <c r="F149" s="43" t="str">
        <f>'ASP-301-1_DP'!C175</f>
        <v>M18 AO-V-8</v>
      </c>
      <c r="G149" s="18"/>
      <c r="I149" s="20"/>
      <c r="J149" s="21"/>
      <c r="K149" s="21"/>
      <c r="L149" s="21"/>
      <c r="M149" s="43" t="str">
        <f>F149</f>
        <v>M18 AO-V-8</v>
      </c>
      <c r="N149" s="18"/>
    </row>
    <row r="150" spans="2:17" s="19" customFormat="1" ht="18" customHeight="1" x14ac:dyDescent="0.3">
      <c r="B150" s="22" t="s">
        <v>45</v>
      </c>
      <c r="C150" s="47" t="str">
        <f>'ASP-301-1_DP'!D176</f>
        <v>D.-275 - Signal FCU</v>
      </c>
      <c r="D150" s="51"/>
      <c r="E150" s="52"/>
      <c r="F150" s="44"/>
      <c r="G150" s="23"/>
      <c r="I150" s="22" t="s">
        <v>49</v>
      </c>
      <c r="J150" s="47" t="str">
        <f>'ASP-301-1_DP'!D180</f>
        <v>D.-288 - Signal ZUL VVR</v>
      </c>
      <c r="K150" s="51"/>
      <c r="L150" s="52"/>
      <c r="M150" s="44"/>
      <c r="N150" s="23"/>
    </row>
    <row r="151" spans="2:17" s="19" customFormat="1" ht="18" customHeight="1" x14ac:dyDescent="0.3">
      <c r="B151" s="22" t="s">
        <v>46</v>
      </c>
      <c r="C151" s="47" t="str">
        <f>'ASP-301-1_DP'!D177</f>
        <v>D.-275 - Signal ZUL VVR</v>
      </c>
      <c r="D151" s="51"/>
      <c r="E151" s="52"/>
      <c r="F151" s="44"/>
      <c r="G151" s="23"/>
      <c r="I151" s="22" t="s">
        <v>50</v>
      </c>
      <c r="J151" s="47" t="str">
        <f>'ASP-301-1_DP'!D181</f>
        <v>D.-288 - Signal ABL VVR</v>
      </c>
      <c r="K151" s="51"/>
      <c r="L151" s="52"/>
      <c r="M151" s="44"/>
      <c r="N151" s="23"/>
    </row>
    <row r="152" spans="2:17" s="19" customFormat="1" ht="18" customHeight="1" x14ac:dyDescent="0.3">
      <c r="B152" s="22" t="s">
        <v>47</v>
      </c>
      <c r="C152" s="47" t="str">
        <f>'ASP-301-1_DP'!D178</f>
        <v>D.-275 - Signal ABL VVR</v>
      </c>
      <c r="D152" s="51"/>
      <c r="E152" s="52"/>
      <c r="F152" s="44"/>
      <c r="G152" s="23"/>
      <c r="I152" s="22" t="s">
        <v>51</v>
      </c>
      <c r="J152" s="47" t="str">
        <f>'ASP-301-1_DP'!D182</f>
        <v>D.-275 - Signal FCU Kälteventil</v>
      </c>
      <c r="K152" s="51"/>
      <c r="L152" s="52"/>
      <c r="M152" s="44"/>
      <c r="N152" s="23"/>
    </row>
    <row r="153" spans="2:17" s="19" customFormat="1" ht="18" customHeight="1" x14ac:dyDescent="0.3">
      <c r="B153" s="42" t="s">
        <v>48</v>
      </c>
      <c r="C153" s="47" t="str">
        <f>'ASP-301-1_DP'!D179</f>
        <v>D.-288 - Signal FCU</v>
      </c>
      <c r="D153" s="51"/>
      <c r="E153" s="52"/>
      <c r="F153" s="44"/>
      <c r="G153" s="23"/>
      <c r="I153" s="22" t="s">
        <v>52</v>
      </c>
      <c r="J153" s="47" t="str">
        <f>'ASP-301-1_DP'!D183</f>
        <v>D.-275 - Signal FCU Heizventil</v>
      </c>
      <c r="K153" s="51"/>
      <c r="L153" s="52"/>
      <c r="M153" s="44"/>
      <c r="N153" s="23"/>
    </row>
    <row r="154" spans="2:17" s="19" customFormat="1" ht="3" customHeight="1" x14ac:dyDescent="0.3">
      <c r="B154" s="40"/>
      <c r="C154" s="41"/>
      <c r="D154" s="41"/>
      <c r="E154" s="41"/>
      <c r="F154" s="45"/>
      <c r="G154" s="18"/>
      <c r="I154" s="24"/>
      <c r="J154" s="25"/>
      <c r="K154" s="25"/>
      <c r="L154" s="25"/>
      <c r="M154" s="45"/>
      <c r="N154" s="18"/>
    </row>
    <row r="155" spans="2:17" ht="11.7" customHeight="1" x14ac:dyDescent="0.3"/>
    <row r="156" spans="2:17" s="19" customFormat="1" ht="3" customHeight="1" x14ac:dyDescent="0.3">
      <c r="B156" s="48"/>
      <c r="C156" s="49"/>
      <c r="D156" s="49"/>
      <c r="E156" s="50"/>
      <c r="F156" s="43" t="str">
        <f>'ASP-301-1_DP'!C184</f>
        <v>M19 DI-16</v>
      </c>
      <c r="G156" s="18"/>
      <c r="I156" s="20"/>
      <c r="J156" s="21"/>
      <c r="K156" s="21"/>
      <c r="L156" s="21"/>
      <c r="M156" s="43" t="str">
        <f>F156</f>
        <v>M19 DI-16</v>
      </c>
      <c r="N156" s="18"/>
    </row>
    <row r="157" spans="2:17" s="19" customFormat="1" ht="9" customHeight="1" x14ac:dyDescent="0.3">
      <c r="B157" s="31" t="s">
        <v>45</v>
      </c>
      <c r="C157" s="47" t="str">
        <f>'ASP-301-1_DP'!D185</f>
        <v>RAV205 - Störung Überspannungschutz</v>
      </c>
      <c r="D157" s="51"/>
      <c r="E157" s="52"/>
      <c r="F157" s="44"/>
      <c r="G157" s="23"/>
      <c r="I157" s="31" t="s">
        <v>53</v>
      </c>
      <c r="J157" s="47" t="str">
        <f>'ASP-301-1_DP'!D193</f>
        <v xml:space="preserve">D.-207 - Störung Kondensatpumpe </v>
      </c>
      <c r="K157" s="51"/>
      <c r="L157" s="52"/>
      <c r="M157" s="44"/>
      <c r="N157" s="23"/>
      <c r="P157"/>
      <c r="Q157"/>
    </row>
    <row r="158" spans="2:17" s="19" customFormat="1" ht="9" customHeight="1" x14ac:dyDescent="0.3">
      <c r="B158" s="31" t="s">
        <v>46</v>
      </c>
      <c r="C158" s="47" t="str">
        <f>'ASP-301-1_DP'!D186</f>
        <v>RAV205 - Störung Hilfspannungsüberwachung</v>
      </c>
      <c r="D158" s="51"/>
      <c r="E158" s="52"/>
      <c r="F158" s="44"/>
      <c r="G158" s="23"/>
      <c r="I158" s="31" t="s">
        <v>54</v>
      </c>
      <c r="J158" s="47" t="str">
        <f>'ASP-301-1_DP'!D194</f>
        <v>RAUC17 - Kältebetrieb Freigabe</v>
      </c>
      <c r="K158" s="51"/>
      <c r="L158" s="52"/>
      <c r="M158" s="44"/>
      <c r="N158" s="23"/>
      <c r="P158"/>
      <c r="Q158"/>
    </row>
    <row r="159" spans="2:17" s="19" customFormat="1" ht="9" customHeight="1" x14ac:dyDescent="0.3">
      <c r="B159" s="31" t="s">
        <v>47</v>
      </c>
      <c r="C159" s="47" t="str">
        <f>'ASP-301-1_DP'!D187</f>
        <v>RAV205 - Störung Asymmetrierelais</v>
      </c>
      <c r="D159" s="51"/>
      <c r="E159" s="52"/>
      <c r="F159" s="44"/>
      <c r="G159" s="23"/>
      <c r="I159" s="31" t="s">
        <v>55</v>
      </c>
      <c r="J159" s="47" t="str">
        <f>'ASP-301-1_DP'!D195</f>
        <v>RAUC17 - Heizbetrieb Freigabe</v>
      </c>
      <c r="K159" s="51"/>
      <c r="L159" s="52"/>
      <c r="M159" s="44"/>
      <c r="N159" s="23"/>
      <c r="P159"/>
      <c r="Q159"/>
    </row>
    <row r="160" spans="2:17" s="19" customFormat="1" ht="9" customHeight="1" x14ac:dyDescent="0.3">
      <c r="B160" s="31" t="s">
        <v>48</v>
      </c>
      <c r="C160" s="47" t="str">
        <f>'ASP-301-1_DP'!D188</f>
        <v>RAV205 - Betriebsmeldung Fernresettraster</v>
      </c>
      <c r="D160" s="51"/>
      <c r="E160" s="52"/>
      <c r="F160" s="44"/>
      <c r="G160" s="23"/>
      <c r="I160" s="31" t="s">
        <v>56</v>
      </c>
      <c r="J160" s="47" t="str">
        <f>'ASP-301-1_DP'!D196</f>
        <v xml:space="preserve">D.-210 - Störung Kondensatpumpe </v>
      </c>
      <c r="K160" s="51"/>
      <c r="L160" s="52"/>
      <c r="M160" s="44"/>
      <c r="N160" s="23"/>
      <c r="P160"/>
      <c r="Q160"/>
    </row>
    <row r="161" spans="2:17" s="19" customFormat="1" ht="9" customHeight="1" x14ac:dyDescent="0.3">
      <c r="B161" s="31" t="s">
        <v>49</v>
      </c>
      <c r="C161" s="47" t="str">
        <f>'ASP-301-1_DP'!D189</f>
        <v>RAV205 - Störung Leckageüberwachung</v>
      </c>
      <c r="D161" s="51"/>
      <c r="E161" s="52"/>
      <c r="F161" s="44"/>
      <c r="G161" s="23"/>
      <c r="I161" s="31" t="s">
        <v>57</v>
      </c>
      <c r="J161" s="47" t="str">
        <f>'ASP-301-1_DP'!D197</f>
        <v xml:space="preserve">D.-212 - Störung Kondensatpumpe </v>
      </c>
      <c r="K161" s="51"/>
      <c r="L161" s="52"/>
      <c r="M161" s="44"/>
      <c r="N161" s="23"/>
      <c r="P161"/>
      <c r="Q161"/>
    </row>
    <row r="162" spans="2:17" s="19" customFormat="1" ht="9" customHeight="1" x14ac:dyDescent="0.3">
      <c r="B162" s="31" t="s">
        <v>50</v>
      </c>
      <c r="C162" s="47" t="str">
        <f>'ASP-301-1_DP'!D190</f>
        <v xml:space="preserve">D.-207 - Störung Kondensatpumpe </v>
      </c>
      <c r="D162" s="51"/>
      <c r="E162" s="52"/>
      <c r="F162" s="44"/>
      <c r="G162" s="23"/>
      <c r="I162" s="31" t="s">
        <v>58</v>
      </c>
      <c r="J162" s="47" t="str">
        <f>'ASP-301-1_DP'!D198</f>
        <v xml:space="preserve">D.-218 - Störung Kondensatpumpe </v>
      </c>
      <c r="K162" s="51"/>
      <c r="L162" s="52"/>
      <c r="M162" s="44"/>
      <c r="N162" s="23"/>
      <c r="P162"/>
      <c r="Q162"/>
    </row>
    <row r="163" spans="2:17" s="19" customFormat="1" ht="9" customHeight="1" x14ac:dyDescent="0.3">
      <c r="B163" s="31" t="s">
        <v>51</v>
      </c>
      <c r="C163" s="47" t="str">
        <f>'ASP-301-1_DP'!D191</f>
        <v xml:space="preserve">D.-207 - Störung Kondensatpumpe </v>
      </c>
      <c r="D163" s="51"/>
      <c r="E163" s="52"/>
      <c r="F163" s="44"/>
      <c r="G163" s="23"/>
      <c r="I163" s="31" t="s">
        <v>59</v>
      </c>
      <c r="J163" s="47" t="str">
        <f>'ASP-301-1_DP'!D199</f>
        <v>D.-213 - Betrieb Trockner</v>
      </c>
      <c r="K163" s="51"/>
      <c r="L163" s="52"/>
      <c r="M163" s="44"/>
      <c r="N163" s="23"/>
      <c r="P163"/>
      <c r="Q163"/>
    </row>
    <row r="164" spans="2:17" s="19" customFormat="1" ht="9" customHeight="1" x14ac:dyDescent="0.3">
      <c r="B164" s="31" t="s">
        <v>52</v>
      </c>
      <c r="C164" s="47" t="str">
        <f>'ASP-301-1_DP'!D192</f>
        <v xml:space="preserve">D.-207 - Störung Kondensatpumpe </v>
      </c>
      <c r="D164" s="51"/>
      <c r="E164" s="52"/>
      <c r="F164" s="44"/>
      <c r="G164" s="23"/>
      <c r="I164" s="31" t="s">
        <v>60</v>
      </c>
      <c r="J164" s="47" t="str">
        <f>'ASP-301-1_DP'!D200</f>
        <v>D.-213 - Betrieb Trockner</v>
      </c>
      <c r="K164" s="51"/>
      <c r="L164" s="52"/>
      <c r="M164" s="44"/>
      <c r="N164" s="23"/>
      <c r="P164"/>
      <c r="Q164"/>
    </row>
    <row r="165" spans="2:17" s="19" customFormat="1" ht="3" customHeight="1" x14ac:dyDescent="0.3">
      <c r="B165" s="48"/>
      <c r="C165" s="49"/>
      <c r="D165" s="49"/>
      <c r="E165" s="50"/>
      <c r="F165" s="45"/>
      <c r="G165" s="18"/>
      <c r="I165" s="24"/>
      <c r="J165" s="25"/>
      <c r="K165" s="25"/>
      <c r="L165" s="25"/>
      <c r="M165" s="45"/>
      <c r="N165" s="18"/>
    </row>
    <row r="166" spans="2:17" ht="14.25" customHeight="1" x14ac:dyDescent="0.3"/>
    <row r="167" spans="2:17" s="19" customFormat="1" ht="3" customHeight="1" x14ac:dyDescent="0.3">
      <c r="B167" s="48"/>
      <c r="C167" s="49"/>
      <c r="D167" s="49"/>
      <c r="E167" s="50"/>
      <c r="F167" s="43" t="str">
        <f>'ASP-301-1_DP'!C201</f>
        <v>M20 DI-16</v>
      </c>
      <c r="G167" s="18"/>
      <c r="I167" s="20"/>
      <c r="J167" s="21"/>
      <c r="K167" s="21"/>
      <c r="L167" s="21"/>
      <c r="M167" s="43" t="str">
        <f>F167</f>
        <v>M20 DI-16</v>
      </c>
      <c r="N167" s="18"/>
    </row>
    <row r="168" spans="2:17" s="19" customFormat="1" ht="9" customHeight="1" x14ac:dyDescent="0.3">
      <c r="B168" s="31" t="s">
        <v>45</v>
      </c>
      <c r="C168" s="47" t="str">
        <f>'ASP-301-1_DP'!D202</f>
        <v xml:space="preserve">D.-213 - Störung Kondensatpumpe </v>
      </c>
      <c r="D168" s="51"/>
      <c r="E168" s="52"/>
      <c r="F168" s="44"/>
      <c r="G168" s="23"/>
      <c r="I168" s="31" t="s">
        <v>53</v>
      </c>
      <c r="J168" s="47" t="str">
        <f>'ASP-301-1_DP'!D210</f>
        <v>D.-213 - Betrieb Spülstation</v>
      </c>
      <c r="K168" s="51"/>
      <c r="L168" s="52"/>
      <c r="M168" s="44"/>
      <c r="N168" s="23"/>
      <c r="P168"/>
      <c r="Q168"/>
    </row>
    <row r="169" spans="2:17" s="19" customFormat="1" ht="9" customHeight="1" x14ac:dyDescent="0.3">
      <c r="B169" s="31" t="s">
        <v>46</v>
      </c>
      <c r="C169" s="47" t="str">
        <f>'ASP-301-1_DP'!D203</f>
        <v>D.-213 - Betrieb Ventilator</v>
      </c>
      <c r="D169" s="51"/>
      <c r="E169" s="52"/>
      <c r="F169" s="44"/>
      <c r="G169" s="23"/>
      <c r="I169" s="31" t="s">
        <v>54</v>
      </c>
      <c r="J169" s="47" t="str">
        <f>'ASP-301-1_DP'!D211</f>
        <v>D.-213 - Störng Spülstation</v>
      </c>
      <c r="K169" s="51"/>
      <c r="L169" s="52"/>
      <c r="M169" s="44"/>
      <c r="N169" s="23"/>
      <c r="P169"/>
      <c r="Q169"/>
    </row>
    <row r="170" spans="2:17" s="19" customFormat="1" ht="9" customHeight="1" x14ac:dyDescent="0.3">
      <c r="B170" s="31" t="s">
        <v>47</v>
      </c>
      <c r="C170" s="47" t="str">
        <f>'ASP-301-1_DP'!D204</f>
        <v>D.-213 - Störung Ventilator</v>
      </c>
      <c r="D170" s="51"/>
      <c r="E170" s="52"/>
      <c r="F170" s="44"/>
      <c r="G170" s="23"/>
      <c r="I170" s="31" t="s">
        <v>55</v>
      </c>
      <c r="J170" s="47" t="str">
        <f>'ASP-301-1_DP'!D212</f>
        <v xml:space="preserve">D.-220 - Störung Kondensatpumpe </v>
      </c>
      <c r="K170" s="51"/>
      <c r="L170" s="52"/>
      <c r="M170" s="44"/>
      <c r="N170" s="23"/>
      <c r="P170"/>
      <c r="Q170"/>
    </row>
    <row r="171" spans="2:17" s="19" customFormat="1" ht="9" customHeight="1" x14ac:dyDescent="0.3">
      <c r="B171" s="31" t="s">
        <v>48</v>
      </c>
      <c r="C171" s="47" t="str">
        <f>'ASP-301-1_DP'!D205</f>
        <v>D.-213 - Wartung Rep. Schalter Ventilator</v>
      </c>
      <c r="D171" s="51"/>
      <c r="E171" s="52"/>
      <c r="F171" s="44"/>
      <c r="G171" s="23"/>
      <c r="I171" s="31" t="s">
        <v>56</v>
      </c>
      <c r="J171" s="47" t="str">
        <f>'ASP-301-1_DP'!D213</f>
        <v xml:space="preserve">D.-221 - Störung Kondensatpumpe </v>
      </c>
      <c r="K171" s="51"/>
      <c r="L171" s="52"/>
      <c r="M171" s="44"/>
      <c r="N171" s="23"/>
      <c r="P171"/>
      <c r="Q171"/>
    </row>
    <row r="172" spans="2:17" s="19" customFormat="1" ht="9" customHeight="1" x14ac:dyDescent="0.3">
      <c r="B172" s="31" t="s">
        <v>49</v>
      </c>
      <c r="C172" s="47" t="str">
        <f>'ASP-301-1_DP'!D206</f>
        <v>D.-213 - Betrieb Ventilator</v>
      </c>
      <c r="D172" s="51"/>
      <c r="E172" s="52"/>
      <c r="F172" s="44"/>
      <c r="G172" s="23"/>
      <c r="I172" s="31" t="s">
        <v>57</v>
      </c>
      <c r="J172" s="47" t="str">
        <f>'ASP-301-1_DP'!D214</f>
        <v xml:space="preserve">D.-227 - Störung Kondensatpumpe </v>
      </c>
      <c r="K172" s="51"/>
      <c r="L172" s="52"/>
      <c r="M172" s="44"/>
      <c r="N172" s="23"/>
      <c r="P172"/>
      <c r="Q172"/>
    </row>
    <row r="173" spans="2:17" s="19" customFormat="1" ht="9" customHeight="1" x14ac:dyDescent="0.3">
      <c r="B173" s="31" t="s">
        <v>50</v>
      </c>
      <c r="C173" s="47" t="str">
        <f>'ASP-301-1_DP'!D207</f>
        <v>D.-213 - Störung Ventilator</v>
      </c>
      <c r="D173" s="51"/>
      <c r="E173" s="52"/>
      <c r="F173" s="44"/>
      <c r="G173" s="23"/>
      <c r="I173" s="31" t="s">
        <v>58</v>
      </c>
      <c r="J173" s="47" t="str">
        <f>'ASP-301-1_DP'!D215</f>
        <v xml:space="preserve">D.-261 - Störung Kondensatpumpe </v>
      </c>
      <c r="K173" s="51"/>
      <c r="L173" s="52"/>
      <c r="M173" s="44"/>
      <c r="N173" s="23"/>
      <c r="P173"/>
      <c r="Q173"/>
    </row>
    <row r="174" spans="2:17" s="19" customFormat="1" ht="9" customHeight="1" x14ac:dyDescent="0.3">
      <c r="B174" s="31" t="s">
        <v>51</v>
      </c>
      <c r="C174" s="47" t="str">
        <f>'ASP-301-1_DP'!D208</f>
        <v>D.-213 - Wartung Rep. Schalter Ventilator</v>
      </c>
      <c r="D174" s="51"/>
      <c r="E174" s="52"/>
      <c r="F174" s="44"/>
      <c r="G174" s="23"/>
      <c r="I174" s="31" t="s">
        <v>59</v>
      </c>
      <c r="J174" s="47" t="str">
        <f>'ASP-301-1_DP'!D216</f>
        <v xml:space="preserve">D.-261 - Störung Kondensatpumpe </v>
      </c>
      <c r="K174" s="51"/>
      <c r="L174" s="52"/>
      <c r="M174" s="44"/>
      <c r="N174" s="23"/>
      <c r="P174"/>
      <c r="Q174"/>
    </row>
    <row r="175" spans="2:17" s="19" customFormat="1" ht="9" customHeight="1" x14ac:dyDescent="0.3">
      <c r="B175" s="31" t="s">
        <v>52</v>
      </c>
      <c r="C175" s="47" t="str">
        <f>'ASP-301-1_DP'!D209</f>
        <v xml:space="preserve">D.-217 - Störung Kondensatpumpe </v>
      </c>
      <c r="D175" s="51"/>
      <c r="E175" s="52"/>
      <c r="F175" s="44"/>
      <c r="G175" s="23"/>
      <c r="I175" s="31" t="s">
        <v>60</v>
      </c>
      <c r="J175" s="47" t="str">
        <f>'ASP-301-1_DP'!D217</f>
        <v>RBH-205.RAUD12. Störung Rohrbegleitheizung</v>
      </c>
      <c r="K175" s="51"/>
      <c r="L175" s="52"/>
      <c r="M175" s="44"/>
      <c r="N175" s="23"/>
      <c r="P175"/>
      <c r="Q175"/>
    </row>
    <row r="176" spans="2:17" s="19" customFormat="1" ht="3" customHeight="1" x14ac:dyDescent="0.3">
      <c r="B176" s="48"/>
      <c r="C176" s="49"/>
      <c r="D176" s="49"/>
      <c r="E176" s="50"/>
      <c r="F176" s="45"/>
      <c r="G176" s="18"/>
      <c r="I176" s="24"/>
      <c r="J176" s="25"/>
      <c r="K176" s="25"/>
      <c r="L176" s="25"/>
      <c r="M176" s="45"/>
      <c r="N176" s="18"/>
    </row>
    <row r="177" spans="2:19" ht="11.7" customHeight="1" x14ac:dyDescent="0.3"/>
    <row r="178" spans="2:19" s="19" customFormat="1" ht="3" customHeight="1" x14ac:dyDescent="0.3">
      <c r="B178" s="48"/>
      <c r="C178" s="49"/>
      <c r="D178" s="49"/>
      <c r="E178" s="50"/>
      <c r="F178" s="43" t="str">
        <f>'ASP-301-1_DP'!C218</f>
        <v>M21 DO-FA-12</v>
      </c>
      <c r="G178" s="18"/>
      <c r="I178" s="24"/>
      <c r="J178" s="25"/>
      <c r="K178" s="25"/>
      <c r="L178" s="25"/>
      <c r="M178" s="43" t="str">
        <f>F178</f>
        <v>M21 DO-FA-12</v>
      </c>
      <c r="N178" s="18"/>
    </row>
    <row r="179" spans="2:19" s="19" customFormat="1" ht="12" customHeight="1" x14ac:dyDescent="0.3">
      <c r="B179" s="22" t="s">
        <v>45</v>
      </c>
      <c r="C179" s="47" t="str">
        <f>'ASP-301-1_DP'!D219</f>
        <v>D.-207 - Freigabe Kältebetrieb</v>
      </c>
      <c r="D179" s="51"/>
      <c r="E179" s="52"/>
      <c r="F179" s="44"/>
      <c r="G179" s="23"/>
      <c r="I179" s="22" t="s">
        <v>51</v>
      </c>
      <c r="J179" s="47" t="str">
        <f>'ASP-301-1_DP'!D225</f>
        <v>D.-213 - Stellbefehl Ventilator</v>
      </c>
      <c r="K179" s="51"/>
      <c r="L179" s="52"/>
      <c r="M179" s="44"/>
      <c r="N179" s="23"/>
      <c r="S179"/>
    </row>
    <row r="180" spans="2:19" s="19" customFormat="1" ht="12" customHeight="1" x14ac:dyDescent="0.3">
      <c r="B180" s="22" t="s">
        <v>46</v>
      </c>
      <c r="C180" s="47" t="str">
        <f>'ASP-301-1_DP'!D220</f>
        <v>D.-207 - Freigabe Heizbetrieb</v>
      </c>
      <c r="D180" s="51"/>
      <c r="E180" s="52"/>
      <c r="F180" s="44"/>
      <c r="G180" s="23"/>
      <c r="I180" s="22" t="s">
        <v>52</v>
      </c>
      <c r="J180" s="47" t="str">
        <f>'ASP-301-1_DP'!D226</f>
        <v>D.-213 - Stellbefehl Ventilator</v>
      </c>
      <c r="K180" s="51"/>
      <c r="L180" s="52"/>
      <c r="M180" s="44"/>
      <c r="N180" s="23"/>
      <c r="S180"/>
    </row>
    <row r="181" spans="2:19" s="19" customFormat="1" ht="12" customHeight="1" x14ac:dyDescent="0.3">
      <c r="B181" s="22" t="s">
        <v>47</v>
      </c>
      <c r="C181" s="47" t="str">
        <f>'ASP-301-1_DP'!D221</f>
        <v>RAV205 - Stellbefehl Fernresettraster</v>
      </c>
      <c r="D181" s="51"/>
      <c r="E181" s="52"/>
      <c r="F181" s="44"/>
      <c r="G181" s="23"/>
      <c r="I181" s="22" t="s">
        <v>53</v>
      </c>
      <c r="J181" s="47" t="str">
        <f>'ASP-301-1_DP'!D227</f>
        <v>D.-262 - Stellbefehl Ventil Heizung</v>
      </c>
      <c r="K181" s="51"/>
      <c r="L181" s="52"/>
      <c r="M181" s="44"/>
      <c r="N181" s="23"/>
      <c r="S181"/>
    </row>
    <row r="182" spans="2:19" s="19" customFormat="1" ht="12" customHeight="1" x14ac:dyDescent="0.3">
      <c r="B182" s="22" t="s">
        <v>48</v>
      </c>
      <c r="C182" s="47" t="str">
        <f>'ASP-301-1_DP'!D222</f>
        <v>RAV205 - Stellbefehl Sammelstörung</v>
      </c>
      <c r="D182" s="51"/>
      <c r="E182" s="52"/>
      <c r="F182" s="44"/>
      <c r="G182" s="23"/>
      <c r="I182" s="22" t="s">
        <v>54</v>
      </c>
      <c r="J182" s="47" t="str">
        <f>'ASP-301-1_DP'!D228</f>
        <v>D.-217 - Anforderumg 6-Wege Kälte</v>
      </c>
      <c r="K182" s="51"/>
      <c r="L182" s="52"/>
      <c r="M182" s="44"/>
      <c r="N182" s="23"/>
      <c r="S182"/>
    </row>
    <row r="183" spans="2:19" s="19" customFormat="1" ht="12" customHeight="1" x14ac:dyDescent="0.3">
      <c r="B183" s="22" t="s">
        <v>49</v>
      </c>
      <c r="C183" s="47" t="str">
        <f>'ASP-301-1_DP'!D223</f>
        <v>D.-210 - Stellbefehl Ventil Heizung</v>
      </c>
      <c r="D183" s="51"/>
      <c r="E183" s="52"/>
      <c r="F183" s="44"/>
      <c r="G183" s="23"/>
      <c r="I183" s="22" t="s">
        <v>55</v>
      </c>
      <c r="J183" s="47" t="str">
        <f>'ASP-301-1_DP'!D229</f>
        <v>D.-217 - Anforderumg 6-Wege Heizung</v>
      </c>
      <c r="K183" s="51"/>
      <c r="L183" s="52"/>
      <c r="M183" s="44"/>
      <c r="N183" s="23"/>
      <c r="S183"/>
    </row>
    <row r="184" spans="2:19" s="19" customFormat="1" ht="12" customHeight="1" x14ac:dyDescent="0.3">
      <c r="B184" s="22" t="s">
        <v>50</v>
      </c>
      <c r="C184" s="47" t="str">
        <f>'ASP-301-1_DP'!D224</f>
        <v>D.-212 - Stellbefehl Ventil Heizung</v>
      </c>
      <c r="D184" s="51"/>
      <c r="E184" s="52"/>
      <c r="F184" s="44"/>
      <c r="G184" s="23"/>
      <c r="I184" s="22" t="s">
        <v>56</v>
      </c>
      <c r="J184" s="47" t="str">
        <f>'ASP-301-1_DP'!D230</f>
        <v>D.-213 - Stellbefehl Spülstation</v>
      </c>
      <c r="K184" s="51"/>
      <c r="L184" s="52"/>
      <c r="M184" s="44"/>
      <c r="N184" s="23"/>
      <c r="S184"/>
    </row>
    <row r="185" spans="2:19" s="19" customFormat="1" ht="3" customHeight="1" x14ac:dyDescent="0.3">
      <c r="B185" s="48"/>
      <c r="C185" s="49"/>
      <c r="D185" s="49"/>
      <c r="E185" s="50"/>
      <c r="F185" s="45"/>
      <c r="G185" s="18"/>
      <c r="I185" s="48"/>
      <c r="J185" s="49"/>
      <c r="K185" s="49"/>
      <c r="L185" s="50"/>
      <c r="M185" s="45"/>
      <c r="N185" s="18"/>
      <c r="S185"/>
    </row>
    <row r="186" spans="2:19" ht="11.7" customHeight="1" x14ac:dyDescent="0.3"/>
    <row r="187" spans="2:19" s="19" customFormat="1" ht="3" customHeight="1" x14ac:dyDescent="0.3">
      <c r="B187" s="48"/>
      <c r="C187" s="49"/>
      <c r="D187" s="49"/>
      <c r="E187" s="50"/>
      <c r="F187" s="43" t="str">
        <f>'ASP-301-1_DP'!C231</f>
        <v>M22 DO-FA-12</v>
      </c>
      <c r="G187" s="18"/>
      <c r="I187" s="24"/>
      <c r="J187" s="25"/>
      <c r="K187" s="25"/>
      <c r="L187" s="25"/>
      <c r="M187" s="43" t="str">
        <f>F187</f>
        <v>M22 DO-FA-12</v>
      </c>
      <c r="N187" s="18"/>
    </row>
    <row r="188" spans="2:19" s="19" customFormat="1" ht="12" customHeight="1" x14ac:dyDescent="0.3">
      <c r="B188" s="22" t="s">
        <v>45</v>
      </c>
      <c r="C188" s="47" t="str">
        <f>'ASP-301-1_DP'!D232</f>
        <v>D.-220 - Stellbefehl Ventil Heizung</v>
      </c>
      <c r="D188" s="51"/>
      <c r="E188" s="52"/>
      <c r="F188" s="44"/>
      <c r="G188" s="23"/>
      <c r="I188" s="22" t="s">
        <v>51</v>
      </c>
      <c r="J188" s="47" t="str">
        <f>'ASP-301-1_DP'!D238</f>
        <v>D.-232 - Stellbefehl Ventil Heizung</v>
      </c>
      <c r="K188" s="51"/>
      <c r="L188" s="52"/>
      <c r="M188" s="44"/>
      <c r="N188" s="23"/>
      <c r="S188"/>
    </row>
    <row r="189" spans="2:19" s="19" customFormat="1" ht="12" customHeight="1" x14ac:dyDescent="0.3">
      <c r="B189" s="22" t="s">
        <v>46</v>
      </c>
      <c r="C189" s="47" t="str">
        <f>'ASP-301-1_DP'!D233</f>
        <v>D.-221 - Stellbefehl Ventil Heizung</v>
      </c>
      <c r="D189" s="51"/>
      <c r="E189" s="52"/>
      <c r="F189" s="44"/>
      <c r="G189" s="23"/>
      <c r="I189" s="22" t="s">
        <v>52</v>
      </c>
      <c r="J189" s="47" t="str">
        <f>'ASP-301-1_DP'!D239</f>
        <v>D.-205 -Stellbefehl Ventil Heizung</v>
      </c>
      <c r="K189" s="51"/>
      <c r="L189" s="52"/>
      <c r="M189" s="44"/>
      <c r="N189" s="23"/>
      <c r="S189"/>
    </row>
    <row r="190" spans="2:19" s="19" customFormat="1" ht="12" customHeight="1" x14ac:dyDescent="0.3">
      <c r="B190" s="22" t="s">
        <v>47</v>
      </c>
      <c r="C190" s="47" t="str">
        <f>'ASP-301-1_DP'!D234</f>
        <v>D.-227 - Stellbefehl Ventil Heizung</v>
      </c>
      <c r="D190" s="51"/>
      <c r="E190" s="52"/>
      <c r="F190" s="44"/>
      <c r="G190" s="23"/>
      <c r="I190" s="22" t="s">
        <v>53</v>
      </c>
      <c r="J190" s="47" t="str">
        <f>'ASP-301-1_DP'!D240</f>
        <v>D.-205 - Stellbefehl Ventil Heizung</v>
      </c>
      <c r="K190" s="51"/>
      <c r="L190" s="52"/>
      <c r="M190" s="44"/>
      <c r="N190" s="23"/>
      <c r="S190"/>
    </row>
    <row r="191" spans="2:19" s="19" customFormat="1" ht="12" customHeight="1" x14ac:dyDescent="0.3">
      <c r="B191" s="22" t="s">
        <v>48</v>
      </c>
      <c r="C191" s="47" t="str">
        <f>'ASP-301-1_DP'!D235</f>
        <v>D.-233 - Stellbefehl Ventil Heizung</v>
      </c>
      <c r="D191" s="51"/>
      <c r="E191" s="52"/>
      <c r="F191" s="44"/>
      <c r="G191" s="23"/>
      <c r="I191" s="22" t="s">
        <v>54</v>
      </c>
      <c r="J191" s="47" t="str">
        <f>'ASP-301-1_DP'!D241</f>
        <v>D.-272 - Stellbefehl Ventil Heizung</v>
      </c>
      <c r="K191" s="51"/>
      <c r="L191" s="52"/>
      <c r="M191" s="44"/>
      <c r="N191" s="23"/>
      <c r="S191"/>
    </row>
    <row r="192" spans="2:19" s="19" customFormat="1" ht="12" customHeight="1" x14ac:dyDescent="0.3">
      <c r="B192" s="22" t="s">
        <v>49</v>
      </c>
      <c r="C192" s="47" t="str">
        <f>'ASP-301-1_DP'!D236</f>
        <v>D.-229 - Stellbefehl Ventil Heizung</v>
      </c>
      <c r="D192" s="51"/>
      <c r="E192" s="52"/>
      <c r="F192" s="44"/>
      <c r="G192" s="23"/>
      <c r="I192" s="22" t="s">
        <v>55</v>
      </c>
      <c r="J192" s="47" t="str">
        <f>'ASP-301-1_DP'!D242</f>
        <v>D.-275 - Stellbefehl Ventil Heizung</v>
      </c>
      <c r="K192" s="51"/>
      <c r="L192" s="52"/>
      <c r="M192" s="44"/>
      <c r="N192" s="23"/>
      <c r="S192"/>
    </row>
    <row r="193" spans="2:19" s="19" customFormat="1" ht="12" customHeight="1" x14ac:dyDescent="0.3">
      <c r="B193" s="22" t="s">
        <v>50</v>
      </c>
      <c r="C193" s="47" t="str">
        <f>'ASP-301-1_DP'!D237</f>
        <v>D.-230 - Stellbefehl Ventil Heizung</v>
      </c>
      <c r="D193" s="51"/>
      <c r="E193" s="52"/>
      <c r="F193" s="44"/>
      <c r="G193" s="23"/>
      <c r="I193" s="22" t="s">
        <v>56</v>
      </c>
      <c r="J193" s="47" t="str">
        <f>'ASP-301-1_DP'!D243</f>
        <v>D.-288 - Stellbefehl Ventil Heizung</v>
      </c>
      <c r="K193" s="51"/>
      <c r="L193" s="52"/>
      <c r="M193" s="44"/>
      <c r="N193" s="23"/>
      <c r="S193"/>
    </row>
    <row r="194" spans="2:19" s="19" customFormat="1" ht="3" customHeight="1" x14ac:dyDescent="0.3">
      <c r="B194" s="48"/>
      <c r="C194" s="49"/>
      <c r="D194" s="49"/>
      <c r="E194" s="50"/>
      <c r="F194" s="45"/>
      <c r="G194" s="18"/>
      <c r="I194" s="48"/>
      <c r="J194" s="49"/>
      <c r="K194" s="49"/>
      <c r="L194" s="50"/>
      <c r="M194" s="45"/>
      <c r="N194" s="18"/>
      <c r="S194"/>
    </row>
    <row r="195" spans="2:19" s="19" customFormat="1" ht="12.75" customHeight="1" x14ac:dyDescent="0.3">
      <c r="B195" s="18"/>
      <c r="C195" s="18"/>
      <c r="D195" s="18"/>
      <c r="E195" s="18"/>
      <c r="F195" s="18"/>
      <c r="G195" s="18"/>
      <c r="I195" s="18"/>
      <c r="J195" s="18"/>
      <c r="K195" s="18"/>
      <c r="L195" s="18"/>
      <c r="M195" s="18"/>
      <c r="N195" s="18"/>
    </row>
    <row r="196" spans="2:19" s="19" customFormat="1" ht="3" customHeight="1" x14ac:dyDescent="0.3">
      <c r="B196" s="36"/>
      <c r="C196" s="34"/>
      <c r="D196" s="34"/>
      <c r="E196" s="34"/>
      <c r="F196" s="43" t="str">
        <f>'ASP-301-1_DP'!C110</f>
        <v>RAV-205.RAUD07.VENu01_YB</v>
      </c>
      <c r="G196" s="18"/>
      <c r="I196" s="20"/>
      <c r="J196" s="21"/>
      <c r="K196" s="21"/>
      <c r="L196" s="21"/>
      <c r="M196" s="43" t="str">
        <f>F196</f>
        <v>RAV-205.RAUD07.VENu01_YB</v>
      </c>
      <c r="N196" s="18"/>
    </row>
    <row r="197" spans="2:19" s="19" customFormat="1" ht="18" customHeight="1" x14ac:dyDescent="0.3">
      <c r="B197" s="22" t="s">
        <v>45</v>
      </c>
      <c r="C197" s="46" t="str">
        <f>'ASP-301-1_DP'!D111</f>
        <v>D.-207 - Signal 6-Wege Ventil</v>
      </c>
      <c r="D197" s="46"/>
      <c r="E197" s="47"/>
      <c r="F197" s="44"/>
      <c r="G197" s="23"/>
      <c r="I197" s="22" t="s">
        <v>49</v>
      </c>
      <c r="J197" s="46" t="str">
        <f>'ASP-301-1_DP'!D115</f>
        <v>D.-207 - Signal HZG/KLG Ventil</v>
      </c>
      <c r="K197" s="46"/>
      <c r="L197" s="47"/>
      <c r="M197" s="44"/>
      <c r="N197" s="23"/>
    </row>
    <row r="198" spans="2:19" s="19" customFormat="1" ht="18" customHeight="1" x14ac:dyDescent="0.3">
      <c r="B198" s="22" t="s">
        <v>46</v>
      </c>
      <c r="C198" s="46" t="str">
        <f>'ASP-301-1_DP'!D112</f>
        <v>AO-V-8</v>
      </c>
      <c r="D198" s="46"/>
      <c r="E198" s="47"/>
      <c r="F198" s="44"/>
      <c r="G198" s="23"/>
      <c r="I198" s="22" t="s">
        <v>50</v>
      </c>
      <c r="J198" s="46" t="str">
        <f>'ASP-301-1_DP'!D116</f>
        <v>D.-207 - Signal ZUL VVR</v>
      </c>
      <c r="K198" s="46"/>
      <c r="L198" s="47"/>
      <c r="M198" s="44"/>
      <c r="N198" s="23"/>
    </row>
    <row r="199" spans="2:19" s="19" customFormat="1" ht="18" customHeight="1" x14ac:dyDescent="0.3">
      <c r="B199" s="22" t="s">
        <v>47</v>
      </c>
      <c r="C199" s="46" t="str">
        <f>'ASP-301-1_DP'!D113</f>
        <v>D.-207 - Signal HZG/KLG Ventil</v>
      </c>
      <c r="D199" s="46"/>
      <c r="E199" s="47"/>
      <c r="F199" s="44"/>
      <c r="G199" s="23"/>
      <c r="I199" s="22" t="s">
        <v>51</v>
      </c>
      <c r="J199" s="46" t="str">
        <f>'ASP-301-1_DP'!D117</f>
        <v>D.-207 - Signal ABL VVR</v>
      </c>
      <c r="K199" s="46"/>
      <c r="L199" s="47"/>
      <c r="M199" s="44"/>
      <c r="N199" s="23"/>
    </row>
    <row r="200" spans="2:19" s="19" customFormat="1" ht="18" customHeight="1" x14ac:dyDescent="0.3">
      <c r="B200" s="37" t="s">
        <v>48</v>
      </c>
      <c r="C200" s="46" t="str">
        <f>'ASP-301-1_DP'!D114</f>
        <v>D.-207 - Signal HZG/KLG Ventil</v>
      </c>
      <c r="D200" s="46"/>
      <c r="E200" s="47"/>
      <c r="F200" s="44"/>
      <c r="G200" s="23"/>
      <c r="I200" s="22" t="s">
        <v>52</v>
      </c>
      <c r="J200" s="46" t="str">
        <f>'ASP-301-1_DP'!D118</f>
        <v>D.-207 - Signal ZUL VVR</v>
      </c>
      <c r="K200" s="46"/>
      <c r="L200" s="47"/>
      <c r="M200" s="44"/>
      <c r="N200" s="23"/>
    </row>
    <row r="201" spans="2:19" s="19" customFormat="1" ht="3" customHeight="1" x14ac:dyDescent="0.3">
      <c r="B201" s="36"/>
      <c r="C201" s="34"/>
      <c r="D201" s="34"/>
      <c r="E201" s="34"/>
      <c r="F201" s="45"/>
      <c r="G201" s="18"/>
      <c r="I201" s="24"/>
      <c r="J201" s="25"/>
      <c r="K201" s="25"/>
      <c r="L201" s="25"/>
      <c r="M201" s="45"/>
      <c r="N201" s="18"/>
    </row>
    <row r="202" spans="2:19" s="19" customFormat="1" ht="12.75" customHeight="1" x14ac:dyDescent="0.3">
      <c r="B202" s="18"/>
      <c r="C202" s="18"/>
      <c r="D202" s="18"/>
      <c r="E202" s="18"/>
      <c r="F202" s="18"/>
      <c r="G202" s="18"/>
      <c r="I202" s="18"/>
      <c r="J202" s="18"/>
      <c r="K202" s="18"/>
      <c r="L202" s="18"/>
      <c r="M202" s="18"/>
      <c r="N202" s="18"/>
    </row>
    <row r="203" spans="2:19" s="19" customFormat="1" ht="3" customHeight="1" x14ac:dyDescent="0.3">
      <c r="B203" s="36"/>
      <c r="C203" s="34"/>
      <c r="D203" s="34"/>
      <c r="E203" s="34"/>
      <c r="F203" s="43" t="str">
        <f>'ASP-301-1_DP'!C119</f>
        <v>RAV-205.RAUD07.VVR004_YB</v>
      </c>
      <c r="G203" s="18"/>
      <c r="I203" s="20"/>
      <c r="J203" s="21"/>
      <c r="K203" s="21"/>
      <c r="L203" s="21"/>
      <c r="M203" s="43" t="str">
        <f>F203</f>
        <v>RAV-205.RAUD07.VVR004_YB</v>
      </c>
      <c r="N203" s="18"/>
    </row>
    <row r="204" spans="2:19" s="19" customFormat="1" ht="18" customHeight="1" x14ac:dyDescent="0.3">
      <c r="B204" s="22" t="s">
        <v>45</v>
      </c>
      <c r="C204" s="46" t="str">
        <f>'ASP-301-1_DP'!D120</f>
        <v xml:space="preserve">Spannungsausgang_8 - </v>
      </c>
      <c r="D204" s="46"/>
      <c r="E204" s="47"/>
      <c r="F204" s="44"/>
      <c r="G204" s="23"/>
      <c r="I204" s="22" t="s">
        <v>49</v>
      </c>
      <c r="J204" s="46" t="str">
        <f>'ASP-301-1_DP'!D124</f>
        <v>D.-211 - Signal FCU</v>
      </c>
      <c r="K204" s="46"/>
      <c r="L204" s="47"/>
      <c r="M204" s="44"/>
      <c r="N204" s="23"/>
    </row>
    <row r="205" spans="2:19" s="19" customFormat="1" ht="18" customHeight="1" x14ac:dyDescent="0.3">
      <c r="B205" s="22" t="s">
        <v>46</v>
      </c>
      <c r="C205" s="46" t="str">
        <f>'ASP-301-1_DP'!D121</f>
        <v>AO-V-8</v>
      </c>
      <c r="D205" s="46"/>
      <c r="E205" s="47"/>
      <c r="F205" s="44"/>
      <c r="G205" s="23"/>
      <c r="I205" s="22" t="s">
        <v>50</v>
      </c>
      <c r="J205" s="46" t="str">
        <f>'ASP-301-1_DP'!D125</f>
        <v>D.-212 - Signal FCU</v>
      </c>
      <c r="K205" s="46"/>
      <c r="L205" s="47"/>
      <c r="M205" s="44"/>
      <c r="N205" s="23"/>
    </row>
    <row r="206" spans="2:19" s="19" customFormat="1" ht="18" customHeight="1" x14ac:dyDescent="0.3">
      <c r="B206" s="22" t="s">
        <v>47</v>
      </c>
      <c r="C206" s="46" t="str">
        <f>'ASP-301-1_DP'!D122</f>
        <v>D.-210 - Signal FCU</v>
      </c>
      <c r="D206" s="46"/>
      <c r="E206" s="47"/>
      <c r="F206" s="44"/>
      <c r="G206" s="23"/>
      <c r="I206" s="22" t="s">
        <v>51</v>
      </c>
      <c r="J206" s="46" t="str">
        <f>'ASP-301-1_DP'!D126</f>
        <v>D.-218 - Signal FCU</v>
      </c>
      <c r="K206" s="46"/>
      <c r="L206" s="47"/>
      <c r="M206" s="44"/>
      <c r="N206" s="23"/>
    </row>
    <row r="207" spans="2:19" s="19" customFormat="1" ht="18" customHeight="1" x14ac:dyDescent="0.3">
      <c r="B207" s="37" t="s">
        <v>48</v>
      </c>
      <c r="C207" s="46" t="str">
        <f>'ASP-301-1_DP'!D123</f>
        <v>D.-211 - Signal FCU</v>
      </c>
      <c r="D207" s="46"/>
      <c r="E207" s="47"/>
      <c r="F207" s="44"/>
      <c r="G207" s="23"/>
      <c r="I207" s="22" t="s">
        <v>52</v>
      </c>
      <c r="J207" s="46" t="str">
        <f>'ASP-301-1_DP'!D127</f>
        <v>D.-218 - Istwert FCU Heizventil</v>
      </c>
      <c r="K207" s="46"/>
      <c r="L207" s="47"/>
      <c r="M207" s="44"/>
      <c r="N207" s="23"/>
    </row>
    <row r="208" spans="2:19" s="19" customFormat="1" ht="3" customHeight="1" x14ac:dyDescent="0.3">
      <c r="B208" s="36"/>
      <c r="C208" s="34"/>
      <c r="D208" s="34"/>
      <c r="E208" s="34"/>
      <c r="F208" s="45"/>
      <c r="G208" s="18"/>
      <c r="I208" s="24"/>
      <c r="J208" s="25"/>
      <c r="K208" s="25"/>
      <c r="L208" s="25"/>
      <c r="M208" s="45"/>
      <c r="N208" s="18"/>
    </row>
    <row r="209" spans="2:17" ht="11.7" customHeight="1" x14ac:dyDescent="0.3"/>
    <row r="210" spans="2:17" s="19" customFormat="1" ht="3" customHeight="1" x14ac:dyDescent="0.3">
      <c r="B210" s="48"/>
      <c r="C210" s="49"/>
      <c r="D210" s="49"/>
      <c r="E210" s="50"/>
      <c r="F210" s="43" t="str">
        <f>'ASP-301-1_DP'!C128</f>
        <v>RAV-205.RAUD10.VENk01_YB</v>
      </c>
      <c r="G210" s="18"/>
      <c r="I210" s="20"/>
      <c r="J210" s="21"/>
      <c r="K210" s="21"/>
      <c r="L210" s="21"/>
      <c r="M210" s="43" t="str">
        <f>F210</f>
        <v>RAV-205.RAUD10.VENk01_YB</v>
      </c>
      <c r="N210" s="18"/>
    </row>
    <row r="211" spans="2:17" s="19" customFormat="1" ht="9" customHeight="1" x14ac:dyDescent="0.3">
      <c r="B211" s="39" t="s">
        <v>45</v>
      </c>
      <c r="C211" s="46" t="str">
        <f>'ASP-301-1_DP'!D129</f>
        <v>D.-211 - Signal FCU Heizventil</v>
      </c>
      <c r="D211" s="46"/>
      <c r="E211" s="47"/>
      <c r="F211" s="44"/>
      <c r="G211" s="23"/>
      <c r="I211" s="39" t="s">
        <v>53</v>
      </c>
      <c r="J211" s="46" t="str">
        <f>'ASP-301-1_DP'!D137</f>
        <v>D.-288 - Signal FCU Heizventil</v>
      </c>
      <c r="K211" s="46"/>
      <c r="L211" s="47"/>
      <c r="M211" s="44"/>
      <c r="N211" s="23"/>
      <c r="P211"/>
      <c r="Q211"/>
    </row>
    <row r="212" spans="2:17" s="19" customFormat="1" ht="9" customHeight="1" x14ac:dyDescent="0.3">
      <c r="B212" s="39" t="s">
        <v>46</v>
      </c>
      <c r="C212" s="46" t="str">
        <f>'ASP-301-1_DP'!D130</f>
        <v>AO-V-8</v>
      </c>
      <c r="D212" s="46"/>
      <c r="E212" s="47"/>
      <c r="F212" s="44"/>
      <c r="G212" s="23"/>
      <c r="I212" s="39" t="s">
        <v>54</v>
      </c>
      <c r="J212" s="46" t="str">
        <f>'ASP-301-1_DP'!D138</f>
        <v>D.-285 - Signal ABL VVR</v>
      </c>
      <c r="K212" s="46"/>
      <c r="L212" s="47"/>
      <c r="M212" s="44"/>
      <c r="N212" s="23"/>
      <c r="P212"/>
      <c r="Q212"/>
    </row>
    <row r="213" spans="2:17" s="19" customFormat="1" ht="9" customHeight="1" x14ac:dyDescent="0.3">
      <c r="B213" s="39" t="s">
        <v>47</v>
      </c>
      <c r="C213" s="46" t="str">
        <f>'ASP-301-1_DP'!D131</f>
        <v>D.-211 - Signal FCU Heizventil</v>
      </c>
      <c r="D213" s="46"/>
      <c r="E213" s="47"/>
      <c r="F213" s="44"/>
      <c r="G213" s="23"/>
      <c r="I213" s="39" t="s">
        <v>55</v>
      </c>
      <c r="J213" s="46" t="str">
        <f>'ASP-301-1_DP'!D139</f>
        <v>AO-V-8</v>
      </c>
      <c r="K213" s="46"/>
      <c r="L213" s="47"/>
      <c r="M213" s="44"/>
      <c r="N213" s="23"/>
      <c r="P213"/>
      <c r="Q213"/>
    </row>
    <row r="214" spans="2:17" s="19" customFormat="1" ht="9" customHeight="1" x14ac:dyDescent="0.3">
      <c r="B214" s="39" t="s">
        <v>48</v>
      </c>
      <c r="C214" s="46" t="str">
        <f>'ASP-301-1_DP'!D132</f>
        <v>D.-212 - Signal FCU Kälteventil</v>
      </c>
      <c r="D214" s="46"/>
      <c r="E214" s="47"/>
      <c r="F214" s="44"/>
      <c r="G214" s="23"/>
      <c r="I214" s="39" t="s">
        <v>56</v>
      </c>
      <c r="J214" s="46" t="str">
        <f>'ASP-301-1_DP'!D140</f>
        <v>D.-213 - Signal FCU</v>
      </c>
      <c r="K214" s="46"/>
      <c r="L214" s="47"/>
      <c r="M214" s="44"/>
      <c r="N214" s="23"/>
      <c r="P214"/>
      <c r="Q214"/>
    </row>
    <row r="215" spans="2:17" s="19" customFormat="1" ht="9" customHeight="1" x14ac:dyDescent="0.3">
      <c r="B215" s="39" t="s">
        <v>49</v>
      </c>
      <c r="C215" s="46" t="str">
        <f>'ASP-301-1_DP'!D133</f>
        <v>D.-212 - Signal FCU Heizventil</v>
      </c>
      <c r="D215" s="46"/>
      <c r="E215" s="47"/>
      <c r="F215" s="44"/>
      <c r="G215" s="23"/>
      <c r="I215" s="39" t="s">
        <v>57</v>
      </c>
      <c r="J215" s="46" t="str">
        <f>'ASP-301-1_DP'!D141</f>
        <v>D.-213 - Signal ZUL VVR</v>
      </c>
      <c r="K215" s="46"/>
      <c r="L215" s="47"/>
      <c r="M215" s="44"/>
      <c r="N215" s="23"/>
      <c r="P215"/>
      <c r="Q215"/>
    </row>
    <row r="216" spans="2:17" s="19" customFormat="1" ht="9" customHeight="1" x14ac:dyDescent="0.3">
      <c r="B216" s="39" t="s">
        <v>50</v>
      </c>
      <c r="C216" s="46" t="str">
        <f>'ASP-301-1_DP'!D134</f>
        <v>D.-218 - Signal FCU Kälteventil</v>
      </c>
      <c r="D216" s="46"/>
      <c r="E216" s="47"/>
      <c r="F216" s="44"/>
      <c r="G216" s="23"/>
      <c r="I216" s="39" t="s">
        <v>58</v>
      </c>
      <c r="J216" s="46" t="str">
        <f>'ASP-301-1_DP'!D142</f>
        <v>D.-213 - Signal ABL VVR</v>
      </c>
      <c r="K216" s="46"/>
      <c r="L216" s="47"/>
      <c r="M216" s="44"/>
      <c r="N216" s="23"/>
      <c r="P216"/>
      <c r="Q216"/>
    </row>
    <row r="217" spans="2:17" s="19" customFormat="1" ht="9" customHeight="1" x14ac:dyDescent="0.3">
      <c r="B217" s="39" t="s">
        <v>51</v>
      </c>
      <c r="C217" s="46">
        <f>'ASP-301-1_DP'!D135</f>
        <v>0</v>
      </c>
      <c r="D217" s="46"/>
      <c r="E217" s="47"/>
      <c r="F217" s="44"/>
      <c r="G217" s="23"/>
      <c r="I217" s="39" t="s">
        <v>59</v>
      </c>
      <c r="J217" s="46" t="str">
        <f>'ASP-301-1_DP'!D143</f>
        <v>D.-217 - Signal FCU</v>
      </c>
      <c r="K217" s="46"/>
      <c r="L217" s="47"/>
      <c r="M217" s="44"/>
      <c r="N217" s="23"/>
      <c r="P217"/>
      <c r="Q217"/>
    </row>
    <row r="218" spans="2:17" s="19" customFormat="1" ht="9" customHeight="1" x14ac:dyDescent="0.3">
      <c r="B218" s="39" t="s">
        <v>52</v>
      </c>
      <c r="C218" s="46" t="str">
        <f>'ASP-301-1_DP'!D136</f>
        <v>D.-288 - Signal FCU Kälteventil</v>
      </c>
      <c r="D218" s="46"/>
      <c r="E218" s="47"/>
      <c r="F218" s="44"/>
      <c r="G218" s="23"/>
      <c r="I218" s="39" t="s">
        <v>60</v>
      </c>
      <c r="J218" s="46" t="str">
        <f>'ASP-301-1_DP'!D144</f>
        <v>D.-217 - Signal ZUL VVR</v>
      </c>
      <c r="K218" s="46"/>
      <c r="L218" s="47"/>
      <c r="M218" s="44"/>
      <c r="N218" s="23"/>
      <c r="P218"/>
      <c r="Q218"/>
    </row>
    <row r="219" spans="2:17" s="19" customFormat="1" ht="3" customHeight="1" x14ac:dyDescent="0.3">
      <c r="B219" s="48"/>
      <c r="C219" s="49"/>
      <c r="D219" s="49"/>
      <c r="E219" s="50"/>
      <c r="F219" s="45"/>
      <c r="G219" s="18"/>
      <c r="I219" s="24"/>
      <c r="J219" s="25"/>
      <c r="K219" s="25"/>
      <c r="L219" s="25"/>
      <c r="M219" s="45"/>
      <c r="N219" s="18"/>
    </row>
    <row r="220" spans="2:17" ht="11.7" customHeight="1" x14ac:dyDescent="0.3"/>
    <row r="221" spans="2:17" s="19" customFormat="1" ht="3" customHeight="1" x14ac:dyDescent="0.3">
      <c r="B221" s="48"/>
      <c r="C221" s="49"/>
      <c r="D221" s="49"/>
      <c r="E221" s="50"/>
      <c r="F221" s="43" t="str">
        <f>'ASP-301-1_DP'!C145</f>
        <v>RAV-205.RAUD17.VVR002_YB</v>
      </c>
      <c r="G221" s="18"/>
      <c r="I221" s="20"/>
      <c r="J221" s="21"/>
      <c r="K221" s="21"/>
      <c r="L221" s="21"/>
      <c r="M221" s="43" t="str">
        <f>F221</f>
        <v>RAV-205.RAUD17.VVR002_YB</v>
      </c>
      <c r="N221" s="18"/>
    </row>
    <row r="222" spans="2:17" s="19" customFormat="1" ht="9" customHeight="1" x14ac:dyDescent="0.3">
      <c r="B222" s="39" t="s">
        <v>45</v>
      </c>
      <c r="C222" s="46" t="str">
        <f>'ASP-301-1_DP'!D146</f>
        <v>D.-213 - Signal FCU Kälteventil</v>
      </c>
      <c r="D222" s="46"/>
      <c r="E222" s="47"/>
      <c r="F222" s="44"/>
      <c r="G222" s="23"/>
      <c r="I222" s="39" t="s">
        <v>53</v>
      </c>
      <c r="J222" s="46" t="str">
        <f>'ASP-301-1_DP'!D154</f>
        <v>D.-220 - Signal FCU Heizventil</v>
      </c>
      <c r="K222" s="46"/>
      <c r="L222" s="47"/>
      <c r="M222" s="44"/>
      <c r="N222" s="23"/>
      <c r="P222"/>
      <c r="Q222"/>
    </row>
    <row r="223" spans="2:17" s="19" customFormat="1" ht="9" customHeight="1" x14ac:dyDescent="0.3">
      <c r="B223" s="39" t="s">
        <v>46</v>
      </c>
      <c r="C223" s="46" t="str">
        <f>'ASP-301-1_DP'!D147</f>
        <v>D.-217 - Signal FCU Ventil</v>
      </c>
      <c r="D223" s="46"/>
      <c r="E223" s="47"/>
      <c r="F223" s="44"/>
      <c r="G223" s="23"/>
      <c r="I223" s="39" t="s">
        <v>54</v>
      </c>
      <c r="J223" s="46" t="str">
        <f>'ASP-301-1_DP'!D155</f>
        <v>D.-221 - Signal FCU Kälteventil</v>
      </c>
      <c r="K223" s="46"/>
      <c r="L223" s="47"/>
      <c r="M223" s="44"/>
      <c r="N223" s="23"/>
      <c r="P223"/>
      <c r="Q223"/>
    </row>
    <row r="224" spans="2:17" s="19" customFormat="1" ht="9" customHeight="1" x14ac:dyDescent="0.3">
      <c r="B224" s="39" t="s">
        <v>47</v>
      </c>
      <c r="C224" s="46" t="str">
        <f>'ASP-301-1_DP'!D148</f>
        <v>AO-V-8</v>
      </c>
      <c r="D224" s="46"/>
      <c r="E224" s="47"/>
      <c r="F224" s="44"/>
      <c r="G224" s="23"/>
      <c r="I224" s="39" t="s">
        <v>55</v>
      </c>
      <c r="J224" s="46" t="str">
        <f>'ASP-301-1_DP'!D156</f>
        <v>D.-221 - Signal FCU Heizventil</v>
      </c>
      <c r="K224" s="46"/>
      <c r="L224" s="47"/>
      <c r="M224" s="44"/>
      <c r="N224" s="23"/>
      <c r="P224"/>
      <c r="Q224"/>
    </row>
    <row r="225" spans="2:17" s="19" customFormat="1" ht="9" customHeight="1" x14ac:dyDescent="0.3">
      <c r="B225" s="39" t="s">
        <v>48</v>
      </c>
      <c r="C225" s="46" t="str">
        <f>'ASP-301-1_DP'!D149</f>
        <v>D.-220 - Signal FCU</v>
      </c>
      <c r="D225" s="46"/>
      <c r="E225" s="47"/>
      <c r="F225" s="44"/>
      <c r="G225" s="23"/>
      <c r="I225" s="39" t="s">
        <v>56</v>
      </c>
      <c r="J225" s="46" t="str">
        <f>'ASP-301-1_DP'!D157</f>
        <v>AO-V-8</v>
      </c>
      <c r="K225" s="46"/>
      <c r="L225" s="47"/>
      <c r="M225" s="44"/>
      <c r="N225" s="23"/>
      <c r="P225"/>
      <c r="Q225"/>
    </row>
    <row r="226" spans="2:17" s="19" customFormat="1" ht="9" customHeight="1" x14ac:dyDescent="0.3">
      <c r="B226" s="39" t="s">
        <v>49</v>
      </c>
      <c r="C226" s="46" t="str">
        <f>'ASP-301-1_DP'!D150</f>
        <v>D.-221 - Signal FCU</v>
      </c>
      <c r="D226" s="46"/>
      <c r="E226" s="47"/>
      <c r="F226" s="44"/>
      <c r="G226" s="23"/>
      <c r="I226" s="39" t="s">
        <v>57</v>
      </c>
      <c r="J226" s="46" t="str">
        <f>'ASP-301-1_DP'!D158</f>
        <v>D.-227 - Signal FCU</v>
      </c>
      <c r="K226" s="46"/>
      <c r="L226" s="47"/>
      <c r="M226" s="44"/>
      <c r="N226" s="23"/>
      <c r="P226"/>
      <c r="Q226"/>
    </row>
    <row r="227" spans="2:17" s="19" customFormat="1" ht="9" customHeight="1" x14ac:dyDescent="0.3">
      <c r="B227" s="39" t="s">
        <v>50</v>
      </c>
      <c r="C227" s="46" t="str">
        <f>'ASP-301-1_DP'!D151</f>
        <v>D.-221 - Signal ZUL VVR</v>
      </c>
      <c r="D227" s="46"/>
      <c r="E227" s="47"/>
      <c r="F227" s="44"/>
      <c r="G227" s="23"/>
      <c r="I227" s="39" t="s">
        <v>58</v>
      </c>
      <c r="J227" s="46" t="str">
        <f>'ASP-301-1_DP'!D159</f>
        <v>D.-227 - Signal ZUL VVR</v>
      </c>
      <c r="K227" s="46"/>
      <c r="L227" s="47"/>
      <c r="M227" s="44"/>
      <c r="N227" s="23"/>
      <c r="P227"/>
      <c r="Q227"/>
    </row>
    <row r="228" spans="2:17" s="19" customFormat="1" ht="9" customHeight="1" x14ac:dyDescent="0.3">
      <c r="B228" s="39" t="s">
        <v>51</v>
      </c>
      <c r="C228" s="46" t="str">
        <f>'ASP-301-1_DP'!D152</f>
        <v>D.-221 - Signal ABL VVR</v>
      </c>
      <c r="D228" s="46"/>
      <c r="E228" s="47"/>
      <c r="F228" s="44"/>
      <c r="G228" s="23"/>
      <c r="I228" s="39" t="s">
        <v>59</v>
      </c>
      <c r="J228" s="46" t="str">
        <f>'ASP-301-1_DP'!D160</f>
        <v>D.-227 - Signal ABL VVR</v>
      </c>
      <c r="K228" s="46"/>
      <c r="L228" s="47"/>
      <c r="M228" s="44"/>
      <c r="N228" s="23"/>
      <c r="P228"/>
      <c r="Q228"/>
    </row>
    <row r="229" spans="2:17" s="19" customFormat="1" ht="9" customHeight="1" x14ac:dyDescent="0.3">
      <c r="B229" s="39" t="s">
        <v>52</v>
      </c>
      <c r="C229" s="46" t="str">
        <f>'ASP-301-1_DP'!D153</f>
        <v>D.-220 - Signal FCU Kälteventil</v>
      </c>
      <c r="D229" s="46"/>
      <c r="E229" s="47"/>
      <c r="F229" s="44"/>
      <c r="G229" s="23"/>
      <c r="I229" s="39" t="s">
        <v>60</v>
      </c>
      <c r="J229" s="46" t="str">
        <f>'ASP-301-1_DP'!D161</f>
        <v>D.-233 - Signal ZUL VVR</v>
      </c>
      <c r="K229" s="46"/>
      <c r="L229" s="47"/>
      <c r="M229" s="44"/>
      <c r="N229" s="23"/>
      <c r="P229"/>
      <c r="Q229"/>
    </row>
    <row r="230" spans="2:17" s="19" customFormat="1" ht="3" customHeight="1" x14ac:dyDescent="0.3">
      <c r="B230" s="48"/>
      <c r="C230" s="49"/>
      <c r="D230" s="49"/>
      <c r="E230" s="50"/>
      <c r="F230" s="45"/>
      <c r="G230" s="18"/>
      <c r="I230" s="32"/>
      <c r="J230" s="25"/>
      <c r="K230" s="25"/>
      <c r="L230" s="25"/>
      <c r="M230" s="45"/>
      <c r="N230" s="18"/>
    </row>
    <row r="231" spans="2:17" ht="11.7" customHeight="1" x14ac:dyDescent="0.3"/>
    <row r="232" spans="2:17" s="19" customFormat="1" ht="3" customHeight="1" x14ac:dyDescent="0.3">
      <c r="B232" s="48"/>
      <c r="C232" s="49"/>
      <c r="D232" s="49"/>
      <c r="E232" s="50"/>
      <c r="F232" s="43" t="str">
        <f>'ASP-301-1_DP'!C162</f>
        <v>RAV-205.RAUD33.VVR002_YB</v>
      </c>
      <c r="G232" s="18"/>
      <c r="I232" s="20"/>
      <c r="J232" s="21"/>
      <c r="K232" s="21"/>
      <c r="L232" s="21"/>
      <c r="M232" s="43" t="str">
        <f>F232</f>
        <v>RAV-205.RAUD33.VVR002_YB</v>
      </c>
      <c r="N232" s="18"/>
    </row>
    <row r="233" spans="2:17" s="19" customFormat="1" ht="9" customHeight="1" x14ac:dyDescent="0.3">
      <c r="B233" s="39" t="s">
        <v>45</v>
      </c>
      <c r="C233" s="46" t="str">
        <f>'ASP-301-1_DP'!D163</f>
        <v>D.-227 - Signal FCU Kälteventil</v>
      </c>
      <c r="D233" s="46"/>
      <c r="E233" s="47"/>
      <c r="F233" s="44"/>
      <c r="G233" s="23"/>
      <c r="I233" s="39" t="s">
        <v>53</v>
      </c>
      <c r="J233" s="46" t="str">
        <f>'ASP-301-1_DP'!D171</f>
        <v>D.-272 - Signal ABL VVR</v>
      </c>
      <c r="K233" s="46"/>
      <c r="L233" s="47"/>
      <c r="M233" s="44"/>
      <c r="N233" s="23"/>
      <c r="P233"/>
      <c r="Q233"/>
    </row>
    <row r="234" spans="2:17" s="19" customFormat="1" ht="9" customHeight="1" x14ac:dyDescent="0.3">
      <c r="B234" s="39" t="s">
        <v>46</v>
      </c>
      <c r="C234" s="46" t="str">
        <f>'ASP-301-1_DP'!D164</f>
        <v>D.-227 - Signal FCU Heizventil</v>
      </c>
      <c r="D234" s="46"/>
      <c r="E234" s="47"/>
      <c r="F234" s="44"/>
      <c r="G234" s="23"/>
      <c r="I234" s="39" t="s">
        <v>54</v>
      </c>
      <c r="J234" s="46" t="str">
        <f>'ASP-301-1_DP'!D172</f>
        <v>D.-261 - Signal FCU Kälteventil</v>
      </c>
      <c r="K234" s="46"/>
      <c r="L234" s="47"/>
      <c r="M234" s="44"/>
      <c r="N234" s="23"/>
      <c r="P234"/>
      <c r="Q234"/>
    </row>
    <row r="235" spans="2:17" s="19" customFormat="1" ht="9" customHeight="1" x14ac:dyDescent="0.3">
      <c r="B235" s="39" t="s">
        <v>47</v>
      </c>
      <c r="C235" s="46" t="str">
        <f>'ASP-301-1_DP'!D165</f>
        <v xml:space="preserve">Spannungsausgang_3 - </v>
      </c>
      <c r="D235" s="46"/>
      <c r="E235" s="47"/>
      <c r="F235" s="44"/>
      <c r="G235" s="23"/>
      <c r="I235" s="39" t="s">
        <v>55</v>
      </c>
      <c r="J235" s="46" t="str">
        <f>'ASP-301-1_DP'!D173</f>
        <v>D.-261 - Signal FCU Kälteventil</v>
      </c>
      <c r="K235" s="46"/>
      <c r="L235" s="47"/>
      <c r="M235" s="44"/>
      <c r="N235" s="23"/>
      <c r="P235"/>
      <c r="Q235"/>
    </row>
    <row r="236" spans="2:17" s="19" customFormat="1" ht="9" customHeight="1" x14ac:dyDescent="0.3">
      <c r="B236" s="39" t="s">
        <v>48</v>
      </c>
      <c r="C236" s="46" t="str">
        <f>'ASP-301-1_DP'!D166</f>
        <v>AO-V-8</v>
      </c>
      <c r="D236" s="46"/>
      <c r="E236" s="47"/>
      <c r="F236" s="44"/>
      <c r="G236" s="23"/>
      <c r="I236" s="39" t="s">
        <v>56</v>
      </c>
      <c r="J236" s="46" t="str">
        <f>'ASP-301-1_DP'!D174</f>
        <v>D.-274 - Signal ZUL VVR</v>
      </c>
      <c r="K236" s="46"/>
      <c r="L236" s="47"/>
      <c r="M236" s="44"/>
      <c r="N236" s="23"/>
      <c r="P236"/>
      <c r="Q236"/>
    </row>
    <row r="237" spans="2:17" s="19" customFormat="1" ht="9" customHeight="1" x14ac:dyDescent="0.3">
      <c r="B237" s="39" t="s">
        <v>49</v>
      </c>
      <c r="C237" s="46" t="str">
        <f>'ASP-301-1_DP'!D167</f>
        <v>D.-261 - Signal FCU</v>
      </c>
      <c r="D237" s="46"/>
      <c r="E237" s="47"/>
      <c r="F237" s="44"/>
      <c r="G237" s="23"/>
      <c r="I237" s="39" t="s">
        <v>57</v>
      </c>
      <c r="J237" s="46" t="str">
        <f>'ASP-301-1_DP'!D175</f>
        <v>AO-V-8</v>
      </c>
      <c r="K237" s="46"/>
      <c r="L237" s="47"/>
      <c r="M237" s="44"/>
      <c r="N237" s="23"/>
      <c r="P237"/>
      <c r="Q237"/>
    </row>
    <row r="238" spans="2:17" s="19" customFormat="1" ht="9" customHeight="1" x14ac:dyDescent="0.3">
      <c r="B238" s="39" t="s">
        <v>50</v>
      </c>
      <c r="C238" s="46" t="str">
        <f>'ASP-301-1_DP'!D168</f>
        <v>D.-261 - Signal FCU</v>
      </c>
      <c r="D238" s="46"/>
      <c r="E238" s="47"/>
      <c r="F238" s="44"/>
      <c r="G238" s="23"/>
      <c r="I238" s="39" t="s">
        <v>58</v>
      </c>
      <c r="J238" s="46" t="str">
        <f>'ASP-301-1_DP'!D176</f>
        <v>D.-275 - Signal FCU</v>
      </c>
      <c r="K238" s="46"/>
      <c r="L238" s="47"/>
      <c r="M238" s="44"/>
      <c r="N238" s="23"/>
      <c r="P238"/>
      <c r="Q238"/>
    </row>
    <row r="239" spans="2:17" s="19" customFormat="1" ht="9" customHeight="1" x14ac:dyDescent="0.3">
      <c r="B239" s="39" t="s">
        <v>51</v>
      </c>
      <c r="C239" s="46" t="str">
        <f>'ASP-301-1_DP'!D169</f>
        <v>D.-205 - Signal ABL VVR</v>
      </c>
      <c r="D239" s="46"/>
      <c r="E239" s="47"/>
      <c r="F239" s="44"/>
      <c r="G239" s="23"/>
      <c r="I239" s="39" t="s">
        <v>59</v>
      </c>
      <c r="J239" s="46" t="str">
        <f>'ASP-301-1_DP'!D177</f>
        <v>D.-275 - Signal ZUL VVR</v>
      </c>
      <c r="K239" s="46"/>
      <c r="L239" s="47"/>
      <c r="M239" s="44"/>
      <c r="N239" s="23"/>
      <c r="P239"/>
      <c r="Q239"/>
    </row>
    <row r="240" spans="2:17" s="19" customFormat="1" ht="9" customHeight="1" x14ac:dyDescent="0.3">
      <c r="B240" s="39" t="s">
        <v>52</v>
      </c>
      <c r="C240" s="46" t="str">
        <f>'ASP-301-1_DP'!D170</f>
        <v>D.-272 - Signal ZUL VVR</v>
      </c>
      <c r="D240" s="46"/>
      <c r="E240" s="47"/>
      <c r="F240" s="44"/>
      <c r="G240" s="23"/>
      <c r="I240" s="39" t="s">
        <v>60</v>
      </c>
      <c r="J240" s="46" t="str">
        <f>'ASP-301-1_DP'!D178</f>
        <v>D.-275 - Signal ABL VVR</v>
      </c>
      <c r="K240" s="46"/>
      <c r="L240" s="47"/>
      <c r="M240" s="44"/>
      <c r="N240" s="23"/>
      <c r="P240"/>
      <c r="Q240"/>
    </row>
    <row r="241" spans="2:17" s="19" customFormat="1" ht="3" customHeight="1" x14ac:dyDescent="0.3">
      <c r="B241" s="48"/>
      <c r="C241" s="49"/>
      <c r="D241" s="49"/>
      <c r="E241" s="50"/>
      <c r="F241" s="45"/>
      <c r="G241" s="18"/>
      <c r="I241" s="24"/>
      <c r="J241" s="25"/>
      <c r="K241" s="25"/>
      <c r="L241" s="25"/>
      <c r="M241" s="45"/>
      <c r="N241" s="18"/>
    </row>
    <row r="242" spans="2:17" ht="11.7" customHeight="1" x14ac:dyDescent="0.3"/>
    <row r="243" spans="2:17" s="19" customFormat="1" ht="3" customHeight="1" x14ac:dyDescent="0.3">
      <c r="B243" s="48"/>
      <c r="C243" s="49"/>
      <c r="D243" s="49"/>
      <c r="E243" s="50"/>
      <c r="F243" s="43" t="str">
        <f>'ASP-301-1_DP'!C179</f>
        <v>RAV-205.RAUD88.UMV001_YB</v>
      </c>
      <c r="G243" s="18"/>
      <c r="I243" s="20"/>
      <c r="J243" s="21"/>
      <c r="K243" s="21"/>
      <c r="L243" s="21"/>
      <c r="M243" s="43" t="str">
        <f>F243</f>
        <v>RAV-205.RAUD88.UMV001_YB</v>
      </c>
      <c r="N243" s="18"/>
    </row>
    <row r="244" spans="2:17" s="19" customFormat="1" ht="9" customHeight="1" x14ac:dyDescent="0.3">
      <c r="B244" s="39" t="s">
        <v>45</v>
      </c>
      <c r="C244" s="46" t="str">
        <f>'ASP-301-1_DP'!D180</f>
        <v>D.-288 - Signal ZUL VVR</v>
      </c>
      <c r="D244" s="46"/>
      <c r="E244" s="47"/>
      <c r="F244" s="44"/>
      <c r="G244" s="23"/>
      <c r="I244" s="31" t="s">
        <v>53</v>
      </c>
      <c r="J244" s="46" t="str">
        <f>'ASP-301-1_DP'!D188</f>
        <v>RAV205 - Betriebsmeldung Fernresettraster</v>
      </c>
      <c r="K244" s="46"/>
      <c r="L244" s="47"/>
      <c r="M244" s="44"/>
      <c r="N244" s="23"/>
      <c r="P244"/>
      <c r="Q244"/>
    </row>
    <row r="245" spans="2:17" s="19" customFormat="1" ht="9" customHeight="1" x14ac:dyDescent="0.3">
      <c r="B245" s="39" t="s">
        <v>46</v>
      </c>
      <c r="C245" s="46" t="str">
        <f>'ASP-301-1_DP'!D181</f>
        <v>D.-288 - Signal ABL VVR</v>
      </c>
      <c r="D245" s="46"/>
      <c r="E245" s="47"/>
      <c r="F245" s="44"/>
      <c r="G245" s="23"/>
      <c r="I245" s="31" t="s">
        <v>54</v>
      </c>
      <c r="J245" s="46" t="str">
        <f>'ASP-301-1_DP'!D189</f>
        <v>RAV205 - Störung Leckageüberwachung</v>
      </c>
      <c r="K245" s="46"/>
      <c r="L245" s="47"/>
      <c r="M245" s="44"/>
      <c r="N245" s="23"/>
      <c r="P245"/>
      <c r="Q245"/>
    </row>
    <row r="246" spans="2:17" s="19" customFormat="1" ht="9" customHeight="1" x14ac:dyDescent="0.3">
      <c r="B246" s="39" t="s">
        <v>47</v>
      </c>
      <c r="C246" s="46" t="str">
        <f>'ASP-301-1_DP'!D182</f>
        <v>D.-275 - Signal FCU Kälteventil</v>
      </c>
      <c r="D246" s="46"/>
      <c r="E246" s="47"/>
      <c r="F246" s="44"/>
      <c r="G246" s="23"/>
      <c r="I246" s="31" t="s">
        <v>55</v>
      </c>
      <c r="J246" s="46" t="str">
        <f>'ASP-301-1_DP'!D190</f>
        <v xml:space="preserve">D.-207 - Störung Kondensatpumpe </v>
      </c>
      <c r="K246" s="46"/>
      <c r="L246" s="47"/>
      <c r="M246" s="44"/>
      <c r="N246" s="23"/>
      <c r="P246"/>
      <c r="Q246"/>
    </row>
    <row r="247" spans="2:17" s="19" customFormat="1" ht="9" customHeight="1" x14ac:dyDescent="0.3">
      <c r="B247" s="39" t="s">
        <v>48</v>
      </c>
      <c r="C247" s="46" t="str">
        <f>'ASP-301-1_DP'!D183</f>
        <v>D.-275 - Signal FCU Heizventil</v>
      </c>
      <c r="D247" s="46"/>
      <c r="E247" s="47"/>
      <c r="F247" s="44"/>
      <c r="G247" s="23"/>
      <c r="I247" s="31" t="s">
        <v>56</v>
      </c>
      <c r="J247" s="46" t="str">
        <f>'ASP-301-1_DP'!D191</f>
        <v xml:space="preserve">D.-207 - Störung Kondensatpumpe </v>
      </c>
      <c r="K247" s="46"/>
      <c r="L247" s="47"/>
      <c r="M247" s="44"/>
      <c r="N247" s="23"/>
      <c r="P247"/>
      <c r="Q247"/>
    </row>
    <row r="248" spans="2:17" s="19" customFormat="1" ht="9" customHeight="1" x14ac:dyDescent="0.3">
      <c r="B248" s="39" t="s">
        <v>49</v>
      </c>
      <c r="C248" s="46" t="str">
        <f>'ASP-301-1_DP'!D184</f>
        <v>DI-16</v>
      </c>
      <c r="D248" s="46"/>
      <c r="E248" s="47"/>
      <c r="F248" s="44"/>
      <c r="G248" s="23"/>
      <c r="I248" s="31" t="s">
        <v>57</v>
      </c>
      <c r="J248" s="46" t="str">
        <f>'ASP-301-1_DP'!D192</f>
        <v xml:space="preserve">D.-207 - Störung Kondensatpumpe </v>
      </c>
      <c r="K248" s="46"/>
      <c r="L248" s="47"/>
      <c r="M248" s="44"/>
      <c r="N248" s="23"/>
      <c r="P248"/>
      <c r="Q248"/>
    </row>
    <row r="249" spans="2:17" s="19" customFormat="1" ht="9" customHeight="1" x14ac:dyDescent="0.3">
      <c r="B249" s="31" t="s">
        <v>50</v>
      </c>
      <c r="C249" s="46" t="str">
        <f>'ASP-301-1_DP'!D185</f>
        <v>RAV205 - Störung Überspannungschutz</v>
      </c>
      <c r="D249" s="46"/>
      <c r="E249" s="47"/>
      <c r="F249" s="44"/>
      <c r="G249" s="23"/>
      <c r="I249" s="31" t="s">
        <v>58</v>
      </c>
      <c r="J249" s="46" t="str">
        <f>'ASP-301-1_DP'!D193</f>
        <v xml:space="preserve">D.-207 - Störung Kondensatpumpe </v>
      </c>
      <c r="K249" s="46"/>
      <c r="L249" s="47"/>
      <c r="M249" s="44"/>
      <c r="N249" s="23"/>
      <c r="P249"/>
      <c r="Q249"/>
    </row>
    <row r="250" spans="2:17" s="19" customFormat="1" ht="9" customHeight="1" x14ac:dyDescent="0.3">
      <c r="B250" s="31" t="s">
        <v>51</v>
      </c>
      <c r="C250" s="46" t="str">
        <f>'ASP-301-1_DP'!D186</f>
        <v>RAV205 - Störung Hilfspannungsüberwachung</v>
      </c>
      <c r="D250" s="46"/>
      <c r="E250" s="47"/>
      <c r="F250" s="44"/>
      <c r="G250" s="23"/>
      <c r="I250" s="31" t="s">
        <v>59</v>
      </c>
      <c r="J250" s="46" t="str">
        <f>'ASP-301-1_DP'!D194</f>
        <v>RAUC17 - Kältebetrieb Freigabe</v>
      </c>
      <c r="K250" s="46"/>
      <c r="L250" s="47"/>
      <c r="M250" s="44"/>
      <c r="N250" s="23"/>
      <c r="P250"/>
      <c r="Q250"/>
    </row>
    <row r="251" spans="2:17" s="19" customFormat="1" ht="9" customHeight="1" x14ac:dyDescent="0.3">
      <c r="B251" s="31" t="s">
        <v>52</v>
      </c>
      <c r="C251" s="46" t="str">
        <f>'ASP-301-1_DP'!D187</f>
        <v>RAV205 - Störung Asymmetrierelais</v>
      </c>
      <c r="D251" s="46"/>
      <c r="E251" s="47"/>
      <c r="F251" s="44"/>
      <c r="G251" s="23"/>
      <c r="I251" s="31" t="s">
        <v>60</v>
      </c>
      <c r="J251" s="46" t="str">
        <f>'ASP-301-1_DP'!D195</f>
        <v>RAUC17 - Heizbetrieb Freigabe</v>
      </c>
      <c r="K251" s="46"/>
      <c r="L251" s="47"/>
      <c r="M251" s="44"/>
      <c r="N251" s="23"/>
      <c r="P251"/>
      <c r="Q251"/>
    </row>
    <row r="252" spans="2:17" s="19" customFormat="1" ht="3" customHeight="1" x14ac:dyDescent="0.3">
      <c r="B252" s="48"/>
      <c r="C252" s="49"/>
      <c r="D252" s="49"/>
      <c r="E252" s="50"/>
      <c r="F252" s="45"/>
      <c r="G252" s="18"/>
      <c r="I252" s="24"/>
      <c r="J252" s="25"/>
      <c r="K252" s="25"/>
      <c r="L252" s="25"/>
      <c r="M252" s="45"/>
      <c r="N252" s="18"/>
    </row>
    <row r="253" spans="2:17" ht="47.25" customHeight="1" x14ac:dyDescent="0.3"/>
    <row r="254" spans="2:17" s="19" customFormat="1" ht="3" customHeight="1" x14ac:dyDescent="0.3">
      <c r="B254" s="48"/>
      <c r="C254" s="49"/>
      <c r="D254" s="49"/>
      <c r="E254" s="50"/>
      <c r="F254" s="43" t="str">
        <f>'ASP-301-1_DP'!C196</f>
        <v>RAV-205.RAUD10.UMVk01_PUM_SM</v>
      </c>
      <c r="G254" s="18"/>
      <c r="I254" s="20"/>
      <c r="J254" s="21"/>
      <c r="K254" s="21"/>
      <c r="L254" s="21"/>
      <c r="M254" s="43" t="str">
        <f>F254</f>
        <v>RAV-205.RAUD10.UMVk01_PUM_SM</v>
      </c>
      <c r="N254" s="18"/>
    </row>
    <row r="255" spans="2:17" s="19" customFormat="1" ht="9" customHeight="1" x14ac:dyDescent="0.3">
      <c r="B255" s="31" t="s">
        <v>45</v>
      </c>
      <c r="C255" s="46" t="str">
        <f>'ASP-301-1_DP'!D197</f>
        <v xml:space="preserve">D.-212 - Störung Kondensatpumpe </v>
      </c>
      <c r="D255" s="46"/>
      <c r="E255" s="47"/>
      <c r="F255" s="44"/>
      <c r="G255" s="23"/>
      <c r="I255" s="31" t="s">
        <v>53</v>
      </c>
      <c r="J255" s="46" t="str">
        <f>'ASP-301-1_DP'!D205</f>
        <v>D.-213 - Wartung Rep. Schalter Ventilator</v>
      </c>
      <c r="K255" s="46"/>
      <c r="L255" s="47"/>
      <c r="M255" s="44"/>
      <c r="N255" s="23"/>
      <c r="P255"/>
      <c r="Q255"/>
    </row>
    <row r="256" spans="2:17" s="19" customFormat="1" ht="9" customHeight="1" x14ac:dyDescent="0.3">
      <c r="B256" s="31" t="s">
        <v>46</v>
      </c>
      <c r="C256" s="46" t="str">
        <f>'ASP-301-1_DP'!D198</f>
        <v xml:space="preserve">D.-218 - Störung Kondensatpumpe </v>
      </c>
      <c r="D256" s="46"/>
      <c r="E256" s="47"/>
      <c r="F256" s="44"/>
      <c r="G256" s="23"/>
      <c r="I256" s="31" t="s">
        <v>54</v>
      </c>
      <c r="J256" s="46" t="str">
        <f>'ASP-301-1_DP'!D206</f>
        <v>D.-213 - Betrieb Ventilator</v>
      </c>
      <c r="K256" s="46"/>
      <c r="L256" s="47"/>
      <c r="M256" s="44"/>
      <c r="N256" s="23"/>
      <c r="P256"/>
      <c r="Q256"/>
    </row>
    <row r="257" spans="2:17" s="19" customFormat="1" ht="9" customHeight="1" x14ac:dyDescent="0.3">
      <c r="B257" s="31" t="s">
        <v>47</v>
      </c>
      <c r="C257" s="46" t="str">
        <f>'ASP-301-1_DP'!D199</f>
        <v>D.-213 - Betrieb Trockner</v>
      </c>
      <c r="D257" s="46"/>
      <c r="E257" s="47"/>
      <c r="F257" s="44"/>
      <c r="G257" s="23"/>
      <c r="I257" s="31" t="s">
        <v>55</v>
      </c>
      <c r="J257" s="46" t="str">
        <f>'ASP-301-1_DP'!D207</f>
        <v>D.-213 - Störung Ventilator</v>
      </c>
      <c r="K257" s="46"/>
      <c r="L257" s="47"/>
      <c r="M257" s="44"/>
      <c r="N257" s="23"/>
      <c r="P257"/>
      <c r="Q257"/>
    </row>
    <row r="258" spans="2:17" s="19" customFormat="1" ht="9" customHeight="1" x14ac:dyDescent="0.3">
      <c r="B258" s="31" t="s">
        <v>48</v>
      </c>
      <c r="C258" s="46" t="str">
        <f>'ASP-301-1_DP'!D200</f>
        <v>D.-213 - Betrieb Trockner</v>
      </c>
      <c r="D258" s="46"/>
      <c r="E258" s="47"/>
      <c r="F258" s="44"/>
      <c r="G258" s="23"/>
      <c r="I258" s="31" t="s">
        <v>56</v>
      </c>
      <c r="J258" s="46" t="str">
        <f>'ASP-301-1_DP'!D208</f>
        <v>D.-213 - Wartung Rep. Schalter Ventilator</v>
      </c>
      <c r="K258" s="46"/>
      <c r="L258" s="47"/>
      <c r="M258" s="44"/>
      <c r="N258" s="23"/>
      <c r="P258"/>
      <c r="Q258"/>
    </row>
    <row r="259" spans="2:17" s="19" customFormat="1" ht="9" customHeight="1" x14ac:dyDescent="0.3">
      <c r="B259" s="31" t="s">
        <v>49</v>
      </c>
      <c r="C259" s="46" t="str">
        <f>'ASP-301-1_DP'!D201</f>
        <v>DI-16</v>
      </c>
      <c r="D259" s="46"/>
      <c r="E259" s="47"/>
      <c r="F259" s="44"/>
      <c r="G259" s="23"/>
      <c r="I259" s="31" t="s">
        <v>57</v>
      </c>
      <c r="J259" s="46" t="str">
        <f>'ASP-301-1_DP'!D209</f>
        <v xml:space="preserve">D.-217 - Störung Kondensatpumpe </v>
      </c>
      <c r="K259" s="46"/>
      <c r="L259" s="47"/>
      <c r="M259" s="44"/>
      <c r="N259" s="23"/>
      <c r="P259"/>
      <c r="Q259"/>
    </row>
    <row r="260" spans="2:17" s="19" customFormat="1" ht="9" customHeight="1" x14ac:dyDescent="0.3">
      <c r="B260" s="31" t="s">
        <v>50</v>
      </c>
      <c r="C260" s="46" t="str">
        <f>'ASP-301-1_DP'!D202</f>
        <v xml:space="preserve">D.-213 - Störung Kondensatpumpe </v>
      </c>
      <c r="D260" s="46"/>
      <c r="E260" s="47"/>
      <c r="F260" s="44"/>
      <c r="G260" s="23"/>
      <c r="I260" s="31" t="s">
        <v>58</v>
      </c>
      <c r="J260" s="46" t="str">
        <f>'ASP-301-1_DP'!D210</f>
        <v>D.-213 - Betrieb Spülstation</v>
      </c>
      <c r="K260" s="46"/>
      <c r="L260" s="47"/>
      <c r="M260" s="44"/>
      <c r="N260" s="23"/>
      <c r="P260"/>
      <c r="Q260"/>
    </row>
    <row r="261" spans="2:17" s="19" customFormat="1" ht="9" customHeight="1" x14ac:dyDescent="0.3">
      <c r="B261" s="31" t="s">
        <v>51</v>
      </c>
      <c r="C261" s="46" t="str">
        <f>'ASP-301-1_DP'!D203</f>
        <v>D.-213 - Betrieb Ventilator</v>
      </c>
      <c r="D261" s="46"/>
      <c r="E261" s="47"/>
      <c r="F261" s="44"/>
      <c r="G261" s="23"/>
      <c r="I261" s="31" t="s">
        <v>59</v>
      </c>
      <c r="J261" s="46" t="str">
        <f>'ASP-301-1_DP'!D211</f>
        <v>D.-213 - Störng Spülstation</v>
      </c>
      <c r="K261" s="46"/>
      <c r="L261" s="47"/>
      <c r="M261" s="44"/>
      <c r="N261" s="23"/>
      <c r="P261"/>
      <c r="Q261"/>
    </row>
    <row r="262" spans="2:17" s="19" customFormat="1" ht="9" customHeight="1" x14ac:dyDescent="0.3">
      <c r="B262" s="31" t="s">
        <v>52</v>
      </c>
      <c r="C262" s="46" t="str">
        <f>'ASP-301-1_DP'!D204</f>
        <v>D.-213 - Störung Ventilator</v>
      </c>
      <c r="D262" s="46"/>
      <c r="E262" s="47"/>
      <c r="F262" s="44"/>
      <c r="G262" s="23"/>
      <c r="I262" s="31" t="s">
        <v>60</v>
      </c>
      <c r="J262" s="46" t="str">
        <f>'ASP-301-1_DP'!D212</f>
        <v xml:space="preserve">D.-220 - Störung Kondensatpumpe </v>
      </c>
      <c r="K262" s="46"/>
      <c r="L262" s="47"/>
      <c r="M262" s="44"/>
      <c r="N262" s="23"/>
      <c r="P262"/>
      <c r="Q262"/>
    </row>
    <row r="263" spans="2:17" s="19" customFormat="1" ht="3" customHeight="1" x14ac:dyDescent="0.3">
      <c r="B263" s="48"/>
      <c r="C263" s="49"/>
      <c r="D263" s="49"/>
      <c r="E263" s="50"/>
      <c r="F263" s="45"/>
      <c r="G263" s="18"/>
      <c r="I263" s="24"/>
      <c r="J263" s="25"/>
      <c r="K263" s="25"/>
      <c r="L263" s="25"/>
      <c r="M263" s="45"/>
      <c r="N263" s="18"/>
    </row>
    <row r="264" spans="2:17" ht="11.7" customHeight="1" x14ac:dyDescent="0.3"/>
    <row r="265" spans="2:17" s="19" customFormat="1" ht="3" customHeight="1" x14ac:dyDescent="0.3">
      <c r="B265" s="48"/>
      <c r="C265" s="49"/>
      <c r="D265" s="49"/>
      <c r="E265" s="50"/>
      <c r="F265" s="43" t="str">
        <f>'ASP-301-1_DP'!C213</f>
        <v>RAV-205.RAUD21.UMV001_PUM_SM</v>
      </c>
      <c r="G265" s="18"/>
      <c r="I265" s="20"/>
      <c r="J265" s="21"/>
      <c r="K265" s="21"/>
      <c r="L265" s="21"/>
      <c r="M265" s="43" t="str">
        <f>F265</f>
        <v>RAV-205.RAUD21.UMV001_PUM_SM</v>
      </c>
      <c r="N265" s="18"/>
    </row>
    <row r="266" spans="2:17" s="19" customFormat="1" ht="9" customHeight="1" x14ac:dyDescent="0.3">
      <c r="B266" s="31" t="s">
        <v>45</v>
      </c>
      <c r="C266" s="46" t="str">
        <f>'ASP-301-1_DP'!D214</f>
        <v xml:space="preserve">D.-227 - Störung Kondensatpumpe </v>
      </c>
      <c r="D266" s="46"/>
      <c r="E266" s="47"/>
      <c r="F266" s="44"/>
      <c r="G266" s="23"/>
      <c r="I266" s="31" t="s">
        <v>53</v>
      </c>
      <c r="J266" s="46" t="str">
        <f>'ASP-301-1_DP'!D222</f>
        <v>RAV205 - Stellbefehl Sammelstörung</v>
      </c>
      <c r="K266" s="46"/>
      <c r="L266" s="47"/>
      <c r="M266" s="44"/>
      <c r="N266" s="23"/>
      <c r="P266"/>
      <c r="Q266"/>
    </row>
    <row r="267" spans="2:17" s="19" customFormat="1" ht="9" customHeight="1" x14ac:dyDescent="0.3">
      <c r="B267" s="31" t="s">
        <v>46</v>
      </c>
      <c r="C267" s="46" t="str">
        <f>'ASP-301-1_DP'!D215</f>
        <v xml:space="preserve">D.-261 - Störung Kondensatpumpe </v>
      </c>
      <c r="D267" s="46"/>
      <c r="E267" s="47"/>
      <c r="F267" s="44"/>
      <c r="G267" s="23"/>
      <c r="I267" s="31" t="s">
        <v>54</v>
      </c>
      <c r="J267" s="46" t="str">
        <f>'ASP-301-1_DP'!D223</f>
        <v>D.-210 - Stellbefehl Ventil Heizung</v>
      </c>
      <c r="K267" s="46"/>
      <c r="L267" s="47"/>
      <c r="M267" s="44"/>
      <c r="N267" s="23"/>
      <c r="P267"/>
      <c r="Q267"/>
    </row>
    <row r="268" spans="2:17" s="19" customFormat="1" ht="9" customHeight="1" x14ac:dyDescent="0.3">
      <c r="B268" s="31" t="s">
        <v>47</v>
      </c>
      <c r="C268" s="46" t="str">
        <f>'ASP-301-1_DP'!D216</f>
        <v xml:space="preserve">D.-261 - Störung Kondensatpumpe </v>
      </c>
      <c r="D268" s="46"/>
      <c r="E268" s="47"/>
      <c r="F268" s="44"/>
      <c r="G268" s="23"/>
      <c r="I268" s="31" t="s">
        <v>55</v>
      </c>
      <c r="J268" s="46" t="str">
        <f>'ASP-301-1_DP'!D224</f>
        <v>D.-212 - Stellbefehl Ventil Heizung</v>
      </c>
      <c r="K268" s="46"/>
      <c r="L268" s="47"/>
      <c r="M268" s="44"/>
      <c r="N268" s="23"/>
      <c r="P268"/>
      <c r="Q268"/>
    </row>
    <row r="269" spans="2:17" s="19" customFormat="1" ht="9" customHeight="1" x14ac:dyDescent="0.3">
      <c r="B269" s="31" t="s">
        <v>48</v>
      </c>
      <c r="C269" s="46" t="str">
        <f>'ASP-301-1_DP'!D217</f>
        <v>RBH-205.RAUD12. Störung Rohrbegleitheizung</v>
      </c>
      <c r="D269" s="46"/>
      <c r="E269" s="47"/>
      <c r="F269" s="44"/>
      <c r="G269" s="23"/>
      <c r="I269" s="31" t="s">
        <v>56</v>
      </c>
      <c r="J269" s="46" t="str">
        <f>'ASP-301-1_DP'!D225</f>
        <v>D.-213 - Stellbefehl Ventilator</v>
      </c>
      <c r="K269" s="46"/>
      <c r="L269" s="47"/>
      <c r="M269" s="44"/>
      <c r="N269" s="23"/>
      <c r="P269"/>
      <c r="Q269"/>
    </row>
    <row r="270" spans="2:17" s="19" customFormat="1" ht="9" customHeight="1" x14ac:dyDescent="0.3">
      <c r="B270" s="31" t="s">
        <v>49</v>
      </c>
      <c r="C270" s="46" t="str">
        <f>'ASP-301-1_DP'!D218</f>
        <v>DO-FA-12</v>
      </c>
      <c r="D270" s="46"/>
      <c r="E270" s="47"/>
      <c r="F270" s="44"/>
      <c r="G270" s="23"/>
      <c r="I270" s="31" t="s">
        <v>57</v>
      </c>
      <c r="J270" s="46" t="str">
        <f>'ASP-301-1_DP'!D226</f>
        <v>D.-213 - Stellbefehl Ventilator</v>
      </c>
      <c r="K270" s="46"/>
      <c r="L270" s="47"/>
      <c r="M270" s="44"/>
      <c r="N270" s="23"/>
      <c r="P270"/>
      <c r="Q270"/>
    </row>
    <row r="271" spans="2:17" s="19" customFormat="1" ht="9" customHeight="1" x14ac:dyDescent="0.3">
      <c r="B271" s="31" t="s">
        <v>50</v>
      </c>
      <c r="C271" s="46" t="str">
        <f>'ASP-301-1_DP'!D219</f>
        <v>D.-207 - Freigabe Kältebetrieb</v>
      </c>
      <c r="D271" s="46"/>
      <c r="E271" s="47"/>
      <c r="F271" s="44"/>
      <c r="G271" s="23"/>
      <c r="I271" s="31" t="s">
        <v>58</v>
      </c>
      <c r="J271" s="46" t="str">
        <f>'ASP-301-1_DP'!D227</f>
        <v>D.-262 - Stellbefehl Ventil Heizung</v>
      </c>
      <c r="K271" s="46"/>
      <c r="L271" s="47"/>
      <c r="M271" s="44"/>
      <c r="N271" s="23"/>
      <c r="P271"/>
      <c r="Q271"/>
    </row>
    <row r="272" spans="2:17" s="19" customFormat="1" ht="9" customHeight="1" x14ac:dyDescent="0.3">
      <c r="B272" s="31" t="s">
        <v>51</v>
      </c>
      <c r="C272" s="46" t="str">
        <f>'ASP-301-1_DP'!D220</f>
        <v>D.-207 - Freigabe Heizbetrieb</v>
      </c>
      <c r="D272" s="46"/>
      <c r="E272" s="47"/>
      <c r="F272" s="44"/>
      <c r="G272" s="23"/>
      <c r="I272" s="31" t="s">
        <v>59</v>
      </c>
      <c r="J272" s="46" t="str">
        <f>'ASP-301-1_DP'!D228</f>
        <v>D.-217 - Anforderumg 6-Wege Kälte</v>
      </c>
      <c r="K272" s="46"/>
      <c r="L272" s="47"/>
      <c r="M272" s="44"/>
      <c r="N272" s="23"/>
      <c r="P272"/>
      <c r="Q272"/>
    </row>
    <row r="273" spans="2:17" s="19" customFormat="1" ht="9" customHeight="1" x14ac:dyDescent="0.3">
      <c r="B273" s="31" t="s">
        <v>52</v>
      </c>
      <c r="C273" s="46" t="str">
        <f>'ASP-301-1_DP'!D221</f>
        <v>RAV205 - Stellbefehl Fernresettraster</v>
      </c>
      <c r="D273" s="46"/>
      <c r="E273" s="47"/>
      <c r="F273" s="44"/>
      <c r="G273" s="23"/>
      <c r="I273" s="31" t="s">
        <v>60</v>
      </c>
      <c r="J273" s="46" t="str">
        <f>'ASP-301-1_DP'!D229</f>
        <v>D.-217 - Anforderumg 6-Wege Heizung</v>
      </c>
      <c r="K273" s="46"/>
      <c r="L273" s="47"/>
      <c r="M273" s="44"/>
      <c r="N273" s="23"/>
      <c r="P273"/>
      <c r="Q273"/>
    </row>
    <row r="274" spans="2:17" s="19" customFormat="1" ht="3" customHeight="1" x14ac:dyDescent="0.3">
      <c r="B274" s="48"/>
      <c r="C274" s="49"/>
      <c r="D274" s="49"/>
      <c r="E274" s="50"/>
      <c r="F274" s="45"/>
      <c r="G274" s="18"/>
      <c r="I274" s="24"/>
      <c r="J274" s="25"/>
      <c r="K274" s="25"/>
      <c r="L274" s="25"/>
      <c r="M274" s="45"/>
      <c r="N274" s="18"/>
    </row>
    <row r="275" spans="2:17" ht="11.7" customHeight="1" x14ac:dyDescent="0.3"/>
    <row r="276" spans="2:17" s="19" customFormat="1" ht="3" customHeight="1" x14ac:dyDescent="0.3">
      <c r="B276" s="48"/>
      <c r="C276" s="49"/>
      <c r="D276" s="49"/>
      <c r="E276" s="50"/>
      <c r="F276" s="43" t="str">
        <f>'ASP-301-1_DP'!C230</f>
        <v>RAV-205.RAUD13.SPÜ001_SB</v>
      </c>
      <c r="G276" s="18"/>
      <c r="I276" s="20"/>
      <c r="J276" s="21"/>
      <c r="K276" s="21"/>
      <c r="L276" s="21"/>
      <c r="M276" s="43" t="str">
        <f>F276</f>
        <v>RAV-205.RAUD13.SPÜ001_SB</v>
      </c>
      <c r="N276" s="18"/>
    </row>
    <row r="277" spans="2:17" s="19" customFormat="1" ht="9" customHeight="1" x14ac:dyDescent="0.3">
      <c r="B277" s="31" t="s">
        <v>45</v>
      </c>
      <c r="C277" s="46" t="str">
        <f>'ASP-301-1_DP'!D231</f>
        <v>DO-FA-12</v>
      </c>
      <c r="D277" s="46"/>
      <c r="E277" s="47"/>
      <c r="F277" s="44"/>
      <c r="G277" s="23"/>
      <c r="I277" s="31" t="s">
        <v>53</v>
      </c>
      <c r="J277" s="53" t="str">
        <f>'ASP-301-1_DP'!D239</f>
        <v>D.-205 -Stellbefehl Ventil Heizung</v>
      </c>
      <c r="K277" s="53"/>
      <c r="L277" s="54"/>
      <c r="M277" s="44"/>
      <c r="N277" s="23"/>
      <c r="P277"/>
      <c r="Q277"/>
    </row>
    <row r="278" spans="2:17" s="19" customFormat="1" ht="9" customHeight="1" x14ac:dyDescent="0.3">
      <c r="B278" s="31" t="s">
        <v>46</v>
      </c>
      <c r="C278" s="46" t="str">
        <f>'ASP-301-1_DP'!D232</f>
        <v>D.-220 - Stellbefehl Ventil Heizung</v>
      </c>
      <c r="D278" s="46"/>
      <c r="E278" s="47"/>
      <c r="F278" s="44"/>
      <c r="G278" s="23"/>
      <c r="I278" s="31" t="s">
        <v>54</v>
      </c>
      <c r="J278" s="53" t="str">
        <f>'ASP-301-1_DP'!D240</f>
        <v>D.-205 - Stellbefehl Ventil Heizung</v>
      </c>
      <c r="K278" s="53"/>
      <c r="L278" s="54"/>
      <c r="M278" s="44"/>
      <c r="N278" s="23"/>
      <c r="P278"/>
      <c r="Q278"/>
    </row>
    <row r="279" spans="2:17" s="19" customFormat="1" ht="9" customHeight="1" x14ac:dyDescent="0.3">
      <c r="B279" s="31" t="s">
        <v>47</v>
      </c>
      <c r="C279" s="46" t="str">
        <f>'ASP-301-1_DP'!D233</f>
        <v>D.-221 - Stellbefehl Ventil Heizung</v>
      </c>
      <c r="D279" s="46"/>
      <c r="E279" s="47"/>
      <c r="F279" s="44"/>
      <c r="G279" s="23"/>
      <c r="I279" s="31" t="s">
        <v>55</v>
      </c>
      <c r="J279" s="53" t="str">
        <f>'ASP-301-1_DP'!D241</f>
        <v>D.-272 - Stellbefehl Ventil Heizung</v>
      </c>
      <c r="K279" s="53"/>
      <c r="L279" s="54"/>
      <c r="M279" s="44"/>
      <c r="N279" s="23"/>
      <c r="P279"/>
      <c r="Q279"/>
    </row>
    <row r="280" spans="2:17" s="19" customFormat="1" ht="9" customHeight="1" x14ac:dyDescent="0.3">
      <c r="B280" s="31" t="s">
        <v>48</v>
      </c>
      <c r="C280" s="46" t="str">
        <f>'ASP-301-1_DP'!D234</f>
        <v>D.-227 - Stellbefehl Ventil Heizung</v>
      </c>
      <c r="D280" s="46"/>
      <c r="E280" s="47"/>
      <c r="F280" s="44"/>
      <c r="G280" s="23"/>
      <c r="I280" s="31" t="s">
        <v>56</v>
      </c>
      <c r="J280" s="53" t="str">
        <f>'ASP-301-1_DP'!D242</f>
        <v>D.-275 - Stellbefehl Ventil Heizung</v>
      </c>
      <c r="K280" s="53"/>
      <c r="L280" s="54"/>
      <c r="M280" s="44"/>
      <c r="N280" s="23"/>
      <c r="P280"/>
      <c r="Q280"/>
    </row>
    <row r="281" spans="2:17" s="19" customFormat="1" ht="9" customHeight="1" x14ac:dyDescent="0.3">
      <c r="B281" s="31" t="s">
        <v>49</v>
      </c>
      <c r="C281" s="46" t="str">
        <f>'ASP-301-1_DP'!D235</f>
        <v>D.-233 - Stellbefehl Ventil Heizung</v>
      </c>
      <c r="D281" s="46"/>
      <c r="E281" s="47"/>
      <c r="F281" s="44"/>
      <c r="G281" s="23"/>
      <c r="I281" s="31" t="s">
        <v>57</v>
      </c>
      <c r="J281" s="53" t="str">
        <f>'ASP-301-1_DP'!D243</f>
        <v>D.-288 - Stellbefehl Ventil Heizung</v>
      </c>
      <c r="K281" s="53"/>
      <c r="L281" s="54"/>
      <c r="M281" s="44"/>
      <c r="N281" s="23"/>
      <c r="P281"/>
      <c r="Q281"/>
    </row>
    <row r="282" spans="2:17" s="19" customFormat="1" ht="9" customHeight="1" x14ac:dyDescent="0.3">
      <c r="B282" s="31" t="s">
        <v>50</v>
      </c>
      <c r="C282" s="46" t="str">
        <f>'ASP-301-1_DP'!D236</f>
        <v>D.-229 - Stellbefehl Ventil Heizung</v>
      </c>
      <c r="D282" s="46"/>
      <c r="E282" s="47"/>
      <c r="F282" s="44"/>
      <c r="G282" s="23"/>
      <c r="I282" s="31" t="s">
        <v>58</v>
      </c>
      <c r="J282" s="53" t="e">
        <f>'ASP-301-1_DP'!#REF!</f>
        <v>#REF!</v>
      </c>
      <c r="K282" s="53"/>
      <c r="L282" s="54"/>
      <c r="M282" s="44"/>
      <c r="N282" s="23"/>
      <c r="P282"/>
      <c r="Q282"/>
    </row>
    <row r="283" spans="2:17" s="19" customFormat="1" ht="9" customHeight="1" x14ac:dyDescent="0.3">
      <c r="B283" s="31" t="s">
        <v>51</v>
      </c>
      <c r="C283" s="46" t="str">
        <f>'ASP-301-1_DP'!D237</f>
        <v>D.-230 - Stellbefehl Ventil Heizung</v>
      </c>
      <c r="D283" s="46"/>
      <c r="E283" s="47"/>
      <c r="F283" s="44"/>
      <c r="G283" s="23"/>
      <c r="I283" s="31" t="s">
        <v>59</v>
      </c>
      <c r="J283" s="53" t="e">
        <f>'ASP-301-1_DP'!#REF!</f>
        <v>#REF!</v>
      </c>
      <c r="K283" s="53"/>
      <c r="L283" s="54"/>
      <c r="M283" s="44"/>
      <c r="N283" s="23"/>
      <c r="P283"/>
      <c r="Q283"/>
    </row>
    <row r="284" spans="2:17" s="19" customFormat="1" ht="9" customHeight="1" x14ac:dyDescent="0.3">
      <c r="B284" s="31" t="s">
        <v>52</v>
      </c>
      <c r="C284" s="46" t="str">
        <f>'ASP-301-1_DP'!D238</f>
        <v>D.-232 - Stellbefehl Ventil Heizung</v>
      </c>
      <c r="D284" s="46"/>
      <c r="E284" s="47"/>
      <c r="F284" s="44"/>
      <c r="G284" s="23"/>
      <c r="I284" s="31" t="s">
        <v>60</v>
      </c>
      <c r="J284" s="53" t="e">
        <f>'ASP-301-1_DP'!#REF!</f>
        <v>#REF!</v>
      </c>
      <c r="K284" s="53"/>
      <c r="L284" s="54"/>
      <c r="M284" s="44"/>
      <c r="N284" s="23"/>
      <c r="P284"/>
      <c r="Q284"/>
    </row>
    <row r="285" spans="2:17" s="19" customFormat="1" ht="3" customHeight="1" x14ac:dyDescent="0.3">
      <c r="B285" s="48"/>
      <c r="C285" s="49"/>
      <c r="D285" s="49"/>
      <c r="E285" s="50"/>
      <c r="F285" s="45"/>
      <c r="G285" s="18"/>
      <c r="I285" s="33"/>
      <c r="J285" s="34"/>
      <c r="K285" s="34"/>
      <c r="L285" s="35"/>
      <c r="M285" s="45"/>
      <c r="N285" s="18"/>
    </row>
    <row r="286" spans="2:17" ht="11.7" customHeight="1" x14ac:dyDescent="0.3"/>
    <row r="287" spans="2:17" s="19" customFormat="1" ht="3" customHeight="1" x14ac:dyDescent="0.3">
      <c r="B287" s="48"/>
      <c r="C287" s="49"/>
      <c r="D287" s="49"/>
      <c r="E287" s="50"/>
      <c r="F287" s="43" t="e">
        <f>'ASP-301-1_DP'!#REF!</f>
        <v>#REF!</v>
      </c>
      <c r="G287" s="18"/>
      <c r="I287" s="20"/>
      <c r="J287" s="21"/>
      <c r="K287" s="21"/>
      <c r="L287" s="21"/>
      <c r="M287" s="43" t="e">
        <f>F287</f>
        <v>#REF!</v>
      </c>
      <c r="N287" s="18"/>
    </row>
    <row r="288" spans="2:17" s="19" customFormat="1" ht="9" customHeight="1" x14ac:dyDescent="0.3">
      <c r="B288" s="31" t="s">
        <v>45</v>
      </c>
      <c r="C288" s="53" t="e">
        <f>'ASP-301-1_DP'!#REF!</f>
        <v>#REF!</v>
      </c>
      <c r="D288" s="53"/>
      <c r="E288" s="54"/>
      <c r="F288" s="44"/>
      <c r="G288" s="23"/>
      <c r="I288" s="31" t="s">
        <v>53</v>
      </c>
      <c r="J288" s="53" t="e">
        <f>'ASP-301-1_DP'!#REF!</f>
        <v>#REF!</v>
      </c>
      <c r="K288" s="53"/>
      <c r="L288" s="54"/>
      <c r="M288" s="44"/>
      <c r="N288" s="23"/>
      <c r="P288"/>
      <c r="Q288"/>
    </row>
    <row r="289" spans="2:17" s="19" customFormat="1" ht="9" customHeight="1" x14ac:dyDescent="0.3">
      <c r="B289" s="31" t="s">
        <v>46</v>
      </c>
      <c r="C289" s="53" t="e">
        <f>'ASP-301-1_DP'!#REF!</f>
        <v>#REF!</v>
      </c>
      <c r="D289" s="53"/>
      <c r="E289" s="54"/>
      <c r="F289" s="44"/>
      <c r="G289" s="23"/>
      <c r="I289" s="31" t="s">
        <v>54</v>
      </c>
      <c r="J289" s="53" t="e">
        <f>'ASP-301-1_DP'!#REF!</f>
        <v>#REF!</v>
      </c>
      <c r="K289" s="53"/>
      <c r="L289" s="54"/>
      <c r="M289" s="44"/>
      <c r="N289" s="23"/>
      <c r="P289"/>
      <c r="Q289"/>
    </row>
    <row r="290" spans="2:17" s="19" customFormat="1" ht="9" customHeight="1" x14ac:dyDescent="0.3">
      <c r="B290" s="31" t="s">
        <v>47</v>
      </c>
      <c r="C290" s="53" t="e">
        <f>'ASP-301-1_DP'!#REF!</f>
        <v>#REF!</v>
      </c>
      <c r="D290" s="53"/>
      <c r="E290" s="54"/>
      <c r="F290" s="44"/>
      <c r="G290" s="23"/>
      <c r="I290" s="31" t="s">
        <v>55</v>
      </c>
      <c r="J290" s="53" t="e">
        <f>'ASP-301-1_DP'!#REF!</f>
        <v>#REF!</v>
      </c>
      <c r="K290" s="53"/>
      <c r="L290" s="54"/>
      <c r="M290" s="44"/>
      <c r="N290" s="23"/>
      <c r="P290"/>
      <c r="Q290"/>
    </row>
    <row r="291" spans="2:17" s="19" customFormat="1" ht="9" customHeight="1" x14ac:dyDescent="0.3">
      <c r="B291" s="31" t="s">
        <v>48</v>
      </c>
      <c r="C291" s="53" t="e">
        <f>'ASP-301-1_DP'!#REF!</f>
        <v>#REF!</v>
      </c>
      <c r="D291" s="53"/>
      <c r="E291" s="54"/>
      <c r="F291" s="44"/>
      <c r="G291" s="23"/>
      <c r="I291" s="31" t="s">
        <v>56</v>
      </c>
      <c r="J291" s="53" t="e">
        <f>'ASP-301-1_DP'!#REF!</f>
        <v>#REF!</v>
      </c>
      <c r="K291" s="53"/>
      <c r="L291" s="54"/>
      <c r="M291" s="44"/>
      <c r="N291" s="23"/>
      <c r="P291"/>
      <c r="Q291"/>
    </row>
    <row r="292" spans="2:17" s="19" customFormat="1" ht="9" customHeight="1" x14ac:dyDescent="0.3">
      <c r="B292" s="31" t="s">
        <v>49</v>
      </c>
      <c r="C292" s="53" t="e">
        <f>'ASP-301-1_DP'!#REF!</f>
        <v>#REF!</v>
      </c>
      <c r="D292" s="53"/>
      <c r="E292" s="54"/>
      <c r="F292" s="44"/>
      <c r="G292" s="23"/>
      <c r="I292" s="31" t="s">
        <v>57</v>
      </c>
      <c r="J292" s="53" t="e">
        <f>'ASP-301-1_DP'!#REF!</f>
        <v>#REF!</v>
      </c>
      <c r="K292" s="53"/>
      <c r="L292" s="54"/>
      <c r="M292" s="44"/>
      <c r="N292" s="23"/>
      <c r="P292"/>
      <c r="Q292"/>
    </row>
    <row r="293" spans="2:17" s="19" customFormat="1" ht="9" customHeight="1" x14ac:dyDescent="0.3">
      <c r="B293" s="31" t="s">
        <v>50</v>
      </c>
      <c r="C293" s="53" t="e">
        <f>'ASP-301-1_DP'!#REF!</f>
        <v>#REF!</v>
      </c>
      <c r="D293" s="53"/>
      <c r="E293" s="54"/>
      <c r="F293" s="44"/>
      <c r="G293" s="23"/>
      <c r="I293" s="31" t="s">
        <v>58</v>
      </c>
      <c r="J293" s="53" t="e">
        <f>'ASP-301-1_DP'!#REF!</f>
        <v>#REF!</v>
      </c>
      <c r="K293" s="53"/>
      <c r="L293" s="54"/>
      <c r="M293" s="44"/>
      <c r="N293" s="23"/>
      <c r="P293"/>
      <c r="Q293"/>
    </row>
    <row r="294" spans="2:17" s="19" customFormat="1" ht="9" customHeight="1" x14ac:dyDescent="0.3">
      <c r="B294" s="31" t="s">
        <v>51</v>
      </c>
      <c r="C294" s="53" t="e">
        <f>'ASP-301-1_DP'!#REF!</f>
        <v>#REF!</v>
      </c>
      <c r="D294" s="53"/>
      <c r="E294" s="54"/>
      <c r="F294" s="44"/>
      <c r="G294" s="23"/>
      <c r="I294" s="31" t="s">
        <v>59</v>
      </c>
      <c r="J294" s="53" t="e">
        <f>'ASP-301-1_DP'!#REF!</f>
        <v>#REF!</v>
      </c>
      <c r="K294" s="53"/>
      <c r="L294" s="54"/>
      <c r="M294" s="44"/>
      <c r="N294" s="23"/>
      <c r="P294"/>
      <c r="Q294"/>
    </row>
    <row r="295" spans="2:17" s="19" customFormat="1" ht="9" customHeight="1" x14ac:dyDescent="0.3">
      <c r="B295" s="31" t="s">
        <v>52</v>
      </c>
      <c r="C295" s="53" t="e">
        <f>'ASP-301-1_DP'!#REF!</f>
        <v>#REF!</v>
      </c>
      <c r="D295" s="53"/>
      <c r="E295" s="54"/>
      <c r="F295" s="44"/>
      <c r="G295" s="23"/>
      <c r="I295" s="31" t="s">
        <v>60</v>
      </c>
      <c r="J295" s="53" t="e">
        <f>'ASP-301-1_DP'!#REF!</f>
        <v>#REF!</v>
      </c>
      <c r="K295" s="53"/>
      <c r="L295" s="54"/>
      <c r="M295" s="44"/>
      <c r="N295" s="23"/>
      <c r="P295"/>
      <c r="Q295"/>
    </row>
    <row r="296" spans="2:17" s="19" customFormat="1" ht="3" customHeight="1" x14ac:dyDescent="0.3">
      <c r="B296" s="48"/>
      <c r="C296" s="49"/>
      <c r="D296" s="49"/>
      <c r="E296" s="50"/>
      <c r="F296" s="45"/>
      <c r="G296" s="18"/>
      <c r="I296" s="24"/>
      <c r="J296" s="25"/>
      <c r="K296" s="25"/>
      <c r="L296" s="25"/>
      <c r="M296" s="45"/>
      <c r="N296" s="18"/>
    </row>
  </sheetData>
  <mergeCells count="471">
    <mergeCell ref="F149:F154"/>
    <mergeCell ref="M149:M154"/>
    <mergeCell ref="C150:E150"/>
    <mergeCell ref="J150:L150"/>
    <mergeCell ref="C151:E151"/>
    <mergeCell ref="J151:L151"/>
    <mergeCell ref="C152:E152"/>
    <mergeCell ref="J152:L152"/>
    <mergeCell ref="C153:E153"/>
    <mergeCell ref="J153:L153"/>
    <mergeCell ref="F142:F147"/>
    <mergeCell ref="M142:M147"/>
    <mergeCell ref="C143:E143"/>
    <mergeCell ref="J143:L143"/>
    <mergeCell ref="C144:E144"/>
    <mergeCell ref="J144:L144"/>
    <mergeCell ref="C145:E145"/>
    <mergeCell ref="J145:L145"/>
    <mergeCell ref="C146:E146"/>
    <mergeCell ref="J146:L146"/>
    <mergeCell ref="F135:F140"/>
    <mergeCell ref="M135:M140"/>
    <mergeCell ref="C136:E136"/>
    <mergeCell ref="J136:L136"/>
    <mergeCell ref="C137:E137"/>
    <mergeCell ref="J137:L137"/>
    <mergeCell ref="C138:E138"/>
    <mergeCell ref="J138:L138"/>
    <mergeCell ref="C139:E139"/>
    <mergeCell ref="J139:L139"/>
    <mergeCell ref="F128:F133"/>
    <mergeCell ref="M128:M133"/>
    <mergeCell ref="C129:E129"/>
    <mergeCell ref="J129:L129"/>
    <mergeCell ref="C130:E130"/>
    <mergeCell ref="J130:L130"/>
    <mergeCell ref="C131:E131"/>
    <mergeCell ref="J131:L131"/>
    <mergeCell ref="C132:E132"/>
    <mergeCell ref="J132:L132"/>
    <mergeCell ref="F121:F126"/>
    <mergeCell ref="M121:M126"/>
    <mergeCell ref="C122:E122"/>
    <mergeCell ref="J122:L122"/>
    <mergeCell ref="C123:E123"/>
    <mergeCell ref="J123:L123"/>
    <mergeCell ref="C124:E124"/>
    <mergeCell ref="J124:L124"/>
    <mergeCell ref="C125:E125"/>
    <mergeCell ref="J125:L125"/>
    <mergeCell ref="F114:F119"/>
    <mergeCell ref="M114:M119"/>
    <mergeCell ref="C115:E115"/>
    <mergeCell ref="J115:L115"/>
    <mergeCell ref="C116:E116"/>
    <mergeCell ref="J116:L116"/>
    <mergeCell ref="C117:E117"/>
    <mergeCell ref="J117:L117"/>
    <mergeCell ref="C118:E118"/>
    <mergeCell ref="J118:L118"/>
    <mergeCell ref="F107:F112"/>
    <mergeCell ref="M107:M112"/>
    <mergeCell ref="C108:E108"/>
    <mergeCell ref="J108:L108"/>
    <mergeCell ref="C109:E109"/>
    <mergeCell ref="J109:L109"/>
    <mergeCell ref="C110:E110"/>
    <mergeCell ref="J110:L110"/>
    <mergeCell ref="C111:E111"/>
    <mergeCell ref="J111:L111"/>
    <mergeCell ref="B82:E82"/>
    <mergeCell ref="F82:F91"/>
    <mergeCell ref="M82:M91"/>
    <mergeCell ref="C83:E83"/>
    <mergeCell ref="J83:L83"/>
    <mergeCell ref="C84:E84"/>
    <mergeCell ref="J84:L84"/>
    <mergeCell ref="C85:E85"/>
    <mergeCell ref="J85:L85"/>
    <mergeCell ref="C86:E86"/>
    <mergeCell ref="J86:L86"/>
    <mergeCell ref="C87:E87"/>
    <mergeCell ref="J87:L87"/>
    <mergeCell ref="C88:E88"/>
    <mergeCell ref="J88:L88"/>
    <mergeCell ref="C89:E89"/>
    <mergeCell ref="J89:L89"/>
    <mergeCell ref="C90:E90"/>
    <mergeCell ref="J90:L90"/>
    <mergeCell ref="B91:E91"/>
    <mergeCell ref="M60:M69"/>
    <mergeCell ref="B69:E69"/>
    <mergeCell ref="B71:E71"/>
    <mergeCell ref="F71:F80"/>
    <mergeCell ref="M71:M80"/>
    <mergeCell ref="C72:E72"/>
    <mergeCell ref="J72:L72"/>
    <mergeCell ref="C73:E73"/>
    <mergeCell ref="J73:L73"/>
    <mergeCell ref="C74:E74"/>
    <mergeCell ref="J74:L74"/>
    <mergeCell ref="C75:E75"/>
    <mergeCell ref="J75:L75"/>
    <mergeCell ref="C76:E76"/>
    <mergeCell ref="J76:L76"/>
    <mergeCell ref="C77:E77"/>
    <mergeCell ref="J77:L77"/>
    <mergeCell ref="C78:E78"/>
    <mergeCell ref="J78:L78"/>
    <mergeCell ref="C79:E79"/>
    <mergeCell ref="J79:L79"/>
    <mergeCell ref="B80:E80"/>
    <mergeCell ref="C65:E65"/>
    <mergeCell ref="J65:L65"/>
    <mergeCell ref="C66:E66"/>
    <mergeCell ref="J66:L66"/>
    <mergeCell ref="C67:E67"/>
    <mergeCell ref="J67:L67"/>
    <mergeCell ref="C68:E68"/>
    <mergeCell ref="J68:L68"/>
    <mergeCell ref="F60:F69"/>
    <mergeCell ref="B60:E60"/>
    <mergeCell ref="C61:E61"/>
    <mergeCell ref="J61:L61"/>
    <mergeCell ref="C62:E62"/>
    <mergeCell ref="J62:L62"/>
    <mergeCell ref="C63:E63"/>
    <mergeCell ref="J63:L63"/>
    <mergeCell ref="C64:E64"/>
    <mergeCell ref="J64:L64"/>
    <mergeCell ref="B58:E58"/>
    <mergeCell ref="C45:E45"/>
    <mergeCell ref="J45:L45"/>
    <mergeCell ref="C46:E46"/>
    <mergeCell ref="J46:L46"/>
    <mergeCell ref="B47:E47"/>
    <mergeCell ref="B49:E49"/>
    <mergeCell ref="F49:F58"/>
    <mergeCell ref="M49:M58"/>
    <mergeCell ref="C50:E50"/>
    <mergeCell ref="J50:L50"/>
    <mergeCell ref="C51:E51"/>
    <mergeCell ref="J51:L51"/>
    <mergeCell ref="C52:E52"/>
    <mergeCell ref="J52:L52"/>
    <mergeCell ref="C53:E53"/>
    <mergeCell ref="J53:L53"/>
    <mergeCell ref="C54:E54"/>
    <mergeCell ref="J54:L54"/>
    <mergeCell ref="C55:E55"/>
    <mergeCell ref="J55:L55"/>
    <mergeCell ref="C56:E56"/>
    <mergeCell ref="J56:L56"/>
    <mergeCell ref="C57:E57"/>
    <mergeCell ref="J57:L57"/>
    <mergeCell ref="M27:M36"/>
    <mergeCell ref="C34:E34"/>
    <mergeCell ref="J34:L34"/>
    <mergeCell ref="C35:E35"/>
    <mergeCell ref="J35:L35"/>
    <mergeCell ref="B36:E36"/>
    <mergeCell ref="B38:E38"/>
    <mergeCell ref="F38:F47"/>
    <mergeCell ref="M38:M47"/>
    <mergeCell ref="C39:E39"/>
    <mergeCell ref="J39:L39"/>
    <mergeCell ref="C40:E40"/>
    <mergeCell ref="J40:L40"/>
    <mergeCell ref="C41:E41"/>
    <mergeCell ref="J41:L41"/>
    <mergeCell ref="C42:E42"/>
    <mergeCell ref="J42:L42"/>
    <mergeCell ref="C43:E43"/>
    <mergeCell ref="J43:L43"/>
    <mergeCell ref="C44:E44"/>
    <mergeCell ref="J44:L44"/>
    <mergeCell ref="M287:M296"/>
    <mergeCell ref="M100:M105"/>
    <mergeCell ref="C101:E101"/>
    <mergeCell ref="J101:L101"/>
    <mergeCell ref="C102:E102"/>
    <mergeCell ref="J102:L102"/>
    <mergeCell ref="C103:E103"/>
    <mergeCell ref="J103:L103"/>
    <mergeCell ref="C104:E104"/>
    <mergeCell ref="J104:L104"/>
    <mergeCell ref="B276:E276"/>
    <mergeCell ref="F276:F285"/>
    <mergeCell ref="M276:M285"/>
    <mergeCell ref="C277:E277"/>
    <mergeCell ref="J277:L277"/>
    <mergeCell ref="C278:E278"/>
    <mergeCell ref="J278:L278"/>
    <mergeCell ref="C279:E279"/>
    <mergeCell ref="J279:L279"/>
    <mergeCell ref="C280:E280"/>
    <mergeCell ref="J280:L280"/>
    <mergeCell ref="C281:E281"/>
    <mergeCell ref="J281:L281"/>
    <mergeCell ref="C282:E282"/>
    <mergeCell ref="J282:L282"/>
    <mergeCell ref="C283:E283"/>
    <mergeCell ref="J283:L283"/>
    <mergeCell ref="C284:E284"/>
    <mergeCell ref="J284:L284"/>
    <mergeCell ref="B285:E285"/>
    <mergeCell ref="C270:E270"/>
    <mergeCell ref="J270:L270"/>
    <mergeCell ref="B265:E265"/>
    <mergeCell ref="F265:F274"/>
    <mergeCell ref="M265:M274"/>
    <mergeCell ref="C271:E271"/>
    <mergeCell ref="J271:L271"/>
    <mergeCell ref="C272:E272"/>
    <mergeCell ref="J272:L272"/>
    <mergeCell ref="C273:E273"/>
    <mergeCell ref="J273:L273"/>
    <mergeCell ref="B274:E274"/>
    <mergeCell ref="C266:E266"/>
    <mergeCell ref="J266:L266"/>
    <mergeCell ref="C267:E267"/>
    <mergeCell ref="J267:L267"/>
    <mergeCell ref="C268:E268"/>
    <mergeCell ref="J268:L268"/>
    <mergeCell ref="C269:E269"/>
    <mergeCell ref="J269:L269"/>
    <mergeCell ref="M254:M263"/>
    <mergeCell ref="C262:E262"/>
    <mergeCell ref="J262:L262"/>
    <mergeCell ref="B263:E263"/>
    <mergeCell ref="C258:E258"/>
    <mergeCell ref="J258:L258"/>
    <mergeCell ref="C259:E259"/>
    <mergeCell ref="J259:L259"/>
    <mergeCell ref="C260:E260"/>
    <mergeCell ref="J260:L260"/>
    <mergeCell ref="C261:E261"/>
    <mergeCell ref="J261:L261"/>
    <mergeCell ref="F254:F263"/>
    <mergeCell ref="C255:E255"/>
    <mergeCell ref="J255:L255"/>
    <mergeCell ref="C256:E256"/>
    <mergeCell ref="J256:L256"/>
    <mergeCell ref="C257:E257"/>
    <mergeCell ref="J257:L257"/>
    <mergeCell ref="B254:E254"/>
    <mergeCell ref="C218:E218"/>
    <mergeCell ref="B219:E219"/>
    <mergeCell ref="J211:L211"/>
    <mergeCell ref="C6:F6"/>
    <mergeCell ref="J6:K8"/>
    <mergeCell ref="C22:D22"/>
    <mergeCell ref="C23:D23"/>
    <mergeCell ref="J24:L24"/>
    <mergeCell ref="C14:F14"/>
    <mergeCell ref="J14:K16"/>
    <mergeCell ref="B27:E27"/>
    <mergeCell ref="C28:E28"/>
    <mergeCell ref="J28:L28"/>
    <mergeCell ref="C29:E29"/>
    <mergeCell ref="J29:L29"/>
    <mergeCell ref="C30:E30"/>
    <mergeCell ref="J30:L30"/>
    <mergeCell ref="C31:E31"/>
    <mergeCell ref="J31:L31"/>
    <mergeCell ref="C32:E32"/>
    <mergeCell ref="J32:L32"/>
    <mergeCell ref="C33:E33"/>
    <mergeCell ref="J33:L33"/>
    <mergeCell ref="F27:F36"/>
    <mergeCell ref="J213:L213"/>
    <mergeCell ref="J214:L214"/>
    <mergeCell ref="J215:L215"/>
    <mergeCell ref="J216:L216"/>
    <mergeCell ref="J217:L217"/>
    <mergeCell ref="J218:L218"/>
    <mergeCell ref="F210:F219"/>
    <mergeCell ref="C211:E211"/>
    <mergeCell ref="C215:E215"/>
    <mergeCell ref="C216:E216"/>
    <mergeCell ref="C217:E217"/>
    <mergeCell ref="B210:E210"/>
    <mergeCell ref="J212:L212"/>
    <mergeCell ref="M221:M230"/>
    <mergeCell ref="C222:E222"/>
    <mergeCell ref="J222:L222"/>
    <mergeCell ref="C223:E223"/>
    <mergeCell ref="J223:L223"/>
    <mergeCell ref="C224:E224"/>
    <mergeCell ref="J224:L224"/>
    <mergeCell ref="C225:E225"/>
    <mergeCell ref="J225:L225"/>
    <mergeCell ref="C226:E226"/>
    <mergeCell ref="J226:L226"/>
    <mergeCell ref="C227:E227"/>
    <mergeCell ref="J227:L227"/>
    <mergeCell ref="C228:E228"/>
    <mergeCell ref="J228:L228"/>
    <mergeCell ref="C229:E229"/>
    <mergeCell ref="J229:L229"/>
    <mergeCell ref="B230:E230"/>
    <mergeCell ref="B221:E221"/>
    <mergeCell ref="F221:F230"/>
    <mergeCell ref="M243:M252"/>
    <mergeCell ref="C244:E244"/>
    <mergeCell ref="J244:L244"/>
    <mergeCell ref="F232:F241"/>
    <mergeCell ref="M232:M241"/>
    <mergeCell ref="C239:E239"/>
    <mergeCell ref="C240:E240"/>
    <mergeCell ref="B232:E232"/>
    <mergeCell ref="J240:L240"/>
    <mergeCell ref="B241:E241"/>
    <mergeCell ref="C233:E233"/>
    <mergeCell ref="J233:L233"/>
    <mergeCell ref="C234:E234"/>
    <mergeCell ref="J234:L234"/>
    <mergeCell ref="C235:E235"/>
    <mergeCell ref="J235:L235"/>
    <mergeCell ref="C236:E236"/>
    <mergeCell ref="J236:L236"/>
    <mergeCell ref="C237:E237"/>
    <mergeCell ref="J237:L237"/>
    <mergeCell ref="C238:E238"/>
    <mergeCell ref="J238:L238"/>
    <mergeCell ref="J239:L239"/>
    <mergeCell ref="B243:E243"/>
    <mergeCell ref="F243:F252"/>
    <mergeCell ref="C245:E245"/>
    <mergeCell ref="J245:L245"/>
    <mergeCell ref="C246:E246"/>
    <mergeCell ref="J246:L246"/>
    <mergeCell ref="C247:E247"/>
    <mergeCell ref="J247:L247"/>
    <mergeCell ref="C248:E248"/>
    <mergeCell ref="J248:L248"/>
    <mergeCell ref="C249:E249"/>
    <mergeCell ref="J249:L249"/>
    <mergeCell ref="C250:E250"/>
    <mergeCell ref="J250:L250"/>
    <mergeCell ref="C251:E251"/>
    <mergeCell ref="J251:L251"/>
    <mergeCell ref="B252:E252"/>
    <mergeCell ref="C295:E295"/>
    <mergeCell ref="J295:L295"/>
    <mergeCell ref="C290:E290"/>
    <mergeCell ref="F287:F296"/>
    <mergeCell ref="J290:L290"/>
    <mergeCell ref="C291:E291"/>
    <mergeCell ref="C292:E292"/>
    <mergeCell ref="J292:L292"/>
    <mergeCell ref="C293:E293"/>
    <mergeCell ref="J293:L293"/>
    <mergeCell ref="C294:E294"/>
    <mergeCell ref="J294:L294"/>
    <mergeCell ref="B296:E296"/>
    <mergeCell ref="C288:E288"/>
    <mergeCell ref="J288:L288"/>
    <mergeCell ref="C289:E289"/>
    <mergeCell ref="J289:L289"/>
    <mergeCell ref="J291:L291"/>
    <mergeCell ref="B287:E287"/>
    <mergeCell ref="M93:M98"/>
    <mergeCell ref="C94:E94"/>
    <mergeCell ref="J94:L94"/>
    <mergeCell ref="C95:E95"/>
    <mergeCell ref="J95:L95"/>
    <mergeCell ref="C96:E96"/>
    <mergeCell ref="F93:F98"/>
    <mergeCell ref="F100:F105"/>
    <mergeCell ref="J96:L96"/>
    <mergeCell ref="C97:E97"/>
    <mergeCell ref="J97:L97"/>
    <mergeCell ref="C191:E191"/>
    <mergeCell ref="J191:L191"/>
    <mergeCell ref="C192:E192"/>
    <mergeCell ref="J192:L192"/>
    <mergeCell ref="C193:E193"/>
    <mergeCell ref="J193:L193"/>
    <mergeCell ref="M210:M219"/>
    <mergeCell ref="C212:E212"/>
    <mergeCell ref="C213:E213"/>
    <mergeCell ref="C214:E214"/>
    <mergeCell ref="J179:L179"/>
    <mergeCell ref="C180:E180"/>
    <mergeCell ref="J180:L180"/>
    <mergeCell ref="C181:E181"/>
    <mergeCell ref="J181:L181"/>
    <mergeCell ref="C182:E182"/>
    <mergeCell ref="J182:L182"/>
    <mergeCell ref="J189:L189"/>
    <mergeCell ref="C190:E190"/>
    <mergeCell ref="J190:L190"/>
    <mergeCell ref="B167:E167"/>
    <mergeCell ref="F167:F176"/>
    <mergeCell ref="M167:M176"/>
    <mergeCell ref="C183:E183"/>
    <mergeCell ref="J183:L183"/>
    <mergeCell ref="C184:E184"/>
    <mergeCell ref="J184:L184"/>
    <mergeCell ref="F178:F185"/>
    <mergeCell ref="M178:M185"/>
    <mergeCell ref="B185:E185"/>
    <mergeCell ref="I185:L185"/>
    <mergeCell ref="C168:E168"/>
    <mergeCell ref="J168:L168"/>
    <mergeCell ref="C169:E169"/>
    <mergeCell ref="J169:L169"/>
    <mergeCell ref="C170:E170"/>
    <mergeCell ref="J170:L170"/>
    <mergeCell ref="C171:E171"/>
    <mergeCell ref="J171:L171"/>
    <mergeCell ref="C172:E172"/>
    <mergeCell ref="J172:L172"/>
    <mergeCell ref="C173:E173"/>
    <mergeCell ref="J173:L173"/>
    <mergeCell ref="C174:E174"/>
    <mergeCell ref="B156:E156"/>
    <mergeCell ref="F156:F165"/>
    <mergeCell ref="M156:M165"/>
    <mergeCell ref="C157:E157"/>
    <mergeCell ref="J157:L157"/>
    <mergeCell ref="C158:E158"/>
    <mergeCell ref="J158:L158"/>
    <mergeCell ref="C159:E159"/>
    <mergeCell ref="J159:L159"/>
    <mergeCell ref="C160:E160"/>
    <mergeCell ref="J160:L160"/>
    <mergeCell ref="C161:E161"/>
    <mergeCell ref="J161:L161"/>
    <mergeCell ref="C162:E162"/>
    <mergeCell ref="J162:L162"/>
    <mergeCell ref="C163:E163"/>
    <mergeCell ref="J163:L163"/>
    <mergeCell ref="C164:E164"/>
    <mergeCell ref="J164:L164"/>
    <mergeCell ref="B165:E165"/>
    <mergeCell ref="J174:L174"/>
    <mergeCell ref="C175:E175"/>
    <mergeCell ref="J175:L175"/>
    <mergeCell ref="B176:E176"/>
    <mergeCell ref="F196:F201"/>
    <mergeCell ref="M196:M201"/>
    <mergeCell ref="C197:E197"/>
    <mergeCell ref="J197:L197"/>
    <mergeCell ref="C198:E198"/>
    <mergeCell ref="J198:L198"/>
    <mergeCell ref="C199:E199"/>
    <mergeCell ref="J199:L199"/>
    <mergeCell ref="C200:E200"/>
    <mergeCell ref="J200:L200"/>
    <mergeCell ref="I194:L194"/>
    <mergeCell ref="B187:E187"/>
    <mergeCell ref="F187:F194"/>
    <mergeCell ref="M187:M194"/>
    <mergeCell ref="C188:E188"/>
    <mergeCell ref="J188:L188"/>
    <mergeCell ref="C189:E189"/>
    <mergeCell ref="B194:E194"/>
    <mergeCell ref="B178:E178"/>
    <mergeCell ref="C179:E179"/>
    <mergeCell ref="F203:F208"/>
    <mergeCell ref="M203:M208"/>
    <mergeCell ref="C204:E204"/>
    <mergeCell ref="J204:L204"/>
    <mergeCell ref="C205:E205"/>
    <mergeCell ref="J205:L205"/>
    <mergeCell ref="C206:E206"/>
    <mergeCell ref="J206:L206"/>
    <mergeCell ref="C207:E207"/>
    <mergeCell ref="J207:L207"/>
  </mergeCells>
  <pageMargins left="0.62992125984251968" right="0.11811023622047245" top="0.27559055118110237" bottom="0.19685039370078741" header="0.19685039370078741" footer="0.19685039370078741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86E8-76E5-4CB3-87AE-B4FACC4C9136}">
  <dimension ref="B1:AI337"/>
  <sheetViews>
    <sheetView tabSelected="1" workbookViewId="0">
      <selection activeCell="D17" sqref="D17"/>
    </sheetView>
  </sheetViews>
  <sheetFormatPr baseColWidth="10" defaultRowHeight="14.4" x14ac:dyDescent="0.3"/>
  <cols>
    <col min="2" max="2" width="18.5546875" bestFit="1" customWidth="1"/>
    <col min="3" max="3" width="27.109375" bestFit="1" customWidth="1"/>
    <col min="4" max="4" width="40.88671875" bestFit="1" customWidth="1"/>
    <col min="7" max="7" width="32.109375" customWidth="1"/>
    <col min="8" max="8" width="7.5546875" bestFit="1" customWidth="1"/>
    <col min="9" max="9" width="5.33203125" bestFit="1" customWidth="1"/>
    <col min="10" max="11" width="7.5546875" bestFit="1" customWidth="1"/>
    <col min="12" max="12" width="11.5546875" bestFit="1" customWidth="1"/>
    <col min="13" max="13" width="8" bestFit="1" customWidth="1"/>
  </cols>
  <sheetData>
    <row r="1" spans="2:35" x14ac:dyDescent="0.3">
      <c r="B1" t="s">
        <v>998</v>
      </c>
      <c r="C1" t="s">
        <v>999</v>
      </c>
      <c r="D1" t="s">
        <v>998</v>
      </c>
      <c r="E1">
        <v>3</v>
      </c>
      <c r="AI1" t="s">
        <v>61</v>
      </c>
    </row>
    <row r="2" spans="2:35" x14ac:dyDescent="0.3">
      <c r="B2" t="s">
        <v>1000</v>
      </c>
      <c r="C2" t="s">
        <v>1001</v>
      </c>
      <c r="D2" t="s">
        <v>1002</v>
      </c>
      <c r="F2" t="s">
        <v>10</v>
      </c>
      <c r="G2" t="s">
        <v>1003</v>
      </c>
      <c r="S2" t="s">
        <v>7</v>
      </c>
      <c r="T2" t="s">
        <v>1004</v>
      </c>
      <c r="V2" t="s">
        <v>995</v>
      </c>
      <c r="W2" t="b">
        <v>1</v>
      </c>
      <c r="X2" t="s">
        <v>7</v>
      </c>
      <c r="Y2" t="s">
        <v>1733</v>
      </c>
      <c r="AG2" t="s">
        <v>1005</v>
      </c>
      <c r="AI2" t="s">
        <v>61</v>
      </c>
    </row>
    <row r="3" spans="2:35" x14ac:dyDescent="0.3">
      <c r="B3" t="s">
        <v>1000</v>
      </c>
      <c r="C3" t="s">
        <v>1006</v>
      </c>
      <c r="D3" t="s">
        <v>1007</v>
      </c>
      <c r="F3" t="s">
        <v>11</v>
      </c>
      <c r="G3" t="s">
        <v>1008</v>
      </c>
      <c r="S3" t="s">
        <v>7</v>
      </c>
      <c r="T3" t="s">
        <v>1004</v>
      </c>
      <c r="V3" t="s">
        <v>995</v>
      </c>
      <c r="W3" t="b">
        <v>1</v>
      </c>
      <c r="X3" t="s">
        <v>7</v>
      </c>
      <c r="Y3" t="s">
        <v>1734</v>
      </c>
      <c r="AG3" t="s">
        <v>1009</v>
      </c>
      <c r="AI3" t="s">
        <v>61</v>
      </c>
    </row>
    <row r="4" spans="2:35" x14ac:dyDescent="0.3">
      <c r="B4" t="s">
        <v>1000</v>
      </c>
      <c r="C4" t="s">
        <v>1010</v>
      </c>
      <c r="D4" t="s">
        <v>1007</v>
      </c>
      <c r="F4" t="s">
        <v>12</v>
      </c>
      <c r="G4" t="s">
        <v>1011</v>
      </c>
      <c r="S4" t="s">
        <v>7</v>
      </c>
      <c r="T4" t="s">
        <v>1004</v>
      </c>
      <c r="V4" t="s">
        <v>995</v>
      </c>
      <c r="W4" t="b">
        <v>1</v>
      </c>
      <c r="X4" t="s">
        <v>7</v>
      </c>
      <c r="Y4" t="s">
        <v>1735</v>
      </c>
      <c r="AG4" t="s">
        <v>1012</v>
      </c>
      <c r="AI4" t="s">
        <v>61</v>
      </c>
    </row>
    <row r="5" spans="2:35" x14ac:dyDescent="0.3">
      <c r="B5" t="s">
        <v>1000</v>
      </c>
      <c r="C5" t="s">
        <v>1013</v>
      </c>
      <c r="D5" t="s">
        <v>1007</v>
      </c>
      <c r="F5" t="s">
        <v>14</v>
      </c>
      <c r="G5" t="s">
        <v>1014</v>
      </c>
      <c r="S5" t="s">
        <v>7</v>
      </c>
      <c r="T5" t="s">
        <v>1004</v>
      </c>
      <c r="V5" t="s">
        <v>995</v>
      </c>
      <c r="W5" t="b">
        <v>1</v>
      </c>
      <c r="X5" t="s">
        <v>7</v>
      </c>
      <c r="Y5" t="s">
        <v>1736</v>
      </c>
      <c r="AG5" t="s">
        <v>1015</v>
      </c>
      <c r="AI5" t="s">
        <v>61</v>
      </c>
    </row>
    <row r="6" spans="2:35" x14ac:dyDescent="0.3">
      <c r="B6" t="s">
        <v>1000</v>
      </c>
      <c r="C6" t="s">
        <v>1016</v>
      </c>
      <c r="D6" t="s">
        <v>1007</v>
      </c>
      <c r="F6" t="s">
        <v>15</v>
      </c>
      <c r="G6" t="s">
        <v>1017</v>
      </c>
      <c r="P6" s="26"/>
      <c r="S6" t="s">
        <v>7</v>
      </c>
      <c r="T6" t="s">
        <v>1004</v>
      </c>
      <c r="V6" t="s">
        <v>995</v>
      </c>
      <c r="W6" t="b">
        <v>1</v>
      </c>
      <c r="X6" t="s">
        <v>7</v>
      </c>
      <c r="Y6" t="s">
        <v>1737</v>
      </c>
      <c r="AG6" t="s">
        <v>1018</v>
      </c>
      <c r="AI6" t="s">
        <v>61</v>
      </c>
    </row>
    <row r="7" spans="2:35" x14ac:dyDescent="0.3">
      <c r="B7" t="s">
        <v>1000</v>
      </c>
      <c r="C7" t="s">
        <v>1019</v>
      </c>
      <c r="D7" t="s">
        <v>1020</v>
      </c>
      <c r="F7" t="s">
        <v>16</v>
      </c>
      <c r="G7" t="s">
        <v>1021</v>
      </c>
      <c r="O7" s="14"/>
      <c r="P7" s="14"/>
      <c r="S7" s="14" t="s">
        <v>7</v>
      </c>
      <c r="T7" t="s">
        <v>1004</v>
      </c>
      <c r="V7" t="s">
        <v>995</v>
      </c>
      <c r="W7" t="b">
        <v>1</v>
      </c>
      <c r="X7" t="s">
        <v>7</v>
      </c>
      <c r="Y7" s="14" t="s">
        <v>1738</v>
      </c>
      <c r="AG7" t="s">
        <v>1022</v>
      </c>
      <c r="AI7" t="s">
        <v>61</v>
      </c>
    </row>
    <row r="8" spans="2:35" x14ac:dyDescent="0.3">
      <c r="B8" t="s">
        <v>1000</v>
      </c>
      <c r="C8" t="s">
        <v>1023</v>
      </c>
      <c r="D8" t="s">
        <v>1024</v>
      </c>
      <c r="F8" t="s">
        <v>18</v>
      </c>
      <c r="G8" t="s">
        <v>1025</v>
      </c>
      <c r="S8" t="s">
        <v>7</v>
      </c>
      <c r="T8" t="s">
        <v>1004</v>
      </c>
      <c r="V8" t="s">
        <v>995</v>
      </c>
      <c r="W8" t="b">
        <v>1</v>
      </c>
      <c r="X8" t="s">
        <v>7</v>
      </c>
      <c r="Y8" t="s">
        <v>1739</v>
      </c>
      <c r="AG8" t="s">
        <v>1026</v>
      </c>
      <c r="AI8" t="s">
        <v>61</v>
      </c>
    </row>
    <row r="9" spans="2:35" x14ac:dyDescent="0.3">
      <c r="B9" t="s">
        <v>1000</v>
      </c>
      <c r="C9" t="s">
        <v>1027</v>
      </c>
      <c r="D9" t="s">
        <v>1024</v>
      </c>
      <c r="F9" t="s">
        <v>19</v>
      </c>
      <c r="G9" t="s">
        <v>1028</v>
      </c>
      <c r="O9" s="14"/>
      <c r="P9" s="14"/>
      <c r="S9" s="14" t="s">
        <v>7</v>
      </c>
      <c r="T9" t="s">
        <v>1004</v>
      </c>
      <c r="V9" t="s">
        <v>995</v>
      </c>
      <c r="W9" t="b">
        <v>1</v>
      </c>
      <c r="X9" t="s">
        <v>7</v>
      </c>
      <c r="Y9" s="14" t="s">
        <v>1029</v>
      </c>
      <c r="AG9" t="s">
        <v>1030</v>
      </c>
      <c r="AI9" t="s">
        <v>61</v>
      </c>
    </row>
    <row r="10" spans="2:35" x14ac:dyDescent="0.3">
      <c r="B10" t="s">
        <v>1000</v>
      </c>
      <c r="C10" t="s">
        <v>1031</v>
      </c>
      <c r="D10" t="s">
        <v>1032</v>
      </c>
      <c r="F10" t="s">
        <v>20</v>
      </c>
      <c r="G10" t="s">
        <v>1033</v>
      </c>
      <c r="O10" s="14"/>
      <c r="P10" s="14"/>
      <c r="S10" s="14" t="s">
        <v>7</v>
      </c>
      <c r="T10" t="s">
        <v>1004</v>
      </c>
      <c r="V10" t="s">
        <v>995</v>
      </c>
      <c r="W10" t="b">
        <v>1</v>
      </c>
      <c r="X10" t="s">
        <v>7</v>
      </c>
      <c r="Y10" s="14" t="s">
        <v>1740</v>
      </c>
      <c r="Z10" s="14"/>
      <c r="AA10" s="14"/>
      <c r="AG10" t="s">
        <v>1034</v>
      </c>
      <c r="AI10" t="s">
        <v>61</v>
      </c>
    </row>
    <row r="11" spans="2:35" x14ac:dyDescent="0.3">
      <c r="B11" t="s">
        <v>1000</v>
      </c>
      <c r="C11" t="s">
        <v>1035</v>
      </c>
      <c r="D11" t="s">
        <v>1036</v>
      </c>
      <c r="F11" t="s">
        <v>21</v>
      </c>
      <c r="G11" t="s">
        <v>1037</v>
      </c>
      <c r="O11" s="14"/>
      <c r="P11" s="14"/>
      <c r="S11" s="14" t="s">
        <v>7</v>
      </c>
      <c r="T11" t="s">
        <v>1004</v>
      </c>
      <c r="V11" t="s">
        <v>995</v>
      </c>
      <c r="W11" t="b">
        <v>1</v>
      </c>
      <c r="X11" t="s">
        <v>7</v>
      </c>
      <c r="Y11" s="14" t="s">
        <v>1038</v>
      </c>
      <c r="Z11" s="14"/>
      <c r="AA11" s="14"/>
      <c r="AG11" t="s">
        <v>1039</v>
      </c>
      <c r="AI11" t="s">
        <v>61</v>
      </c>
    </row>
    <row r="12" spans="2:35" x14ac:dyDescent="0.3">
      <c r="B12" t="s">
        <v>1000</v>
      </c>
      <c r="C12" t="s">
        <v>1040</v>
      </c>
      <c r="D12" t="s">
        <v>1041</v>
      </c>
      <c r="F12" t="s">
        <v>22</v>
      </c>
      <c r="G12" t="s">
        <v>1042</v>
      </c>
      <c r="O12" s="14"/>
      <c r="P12" s="14"/>
      <c r="S12" s="14" t="s">
        <v>7</v>
      </c>
      <c r="T12" t="s">
        <v>1004</v>
      </c>
      <c r="V12" t="s">
        <v>995</v>
      </c>
      <c r="W12" t="b">
        <v>1</v>
      </c>
      <c r="X12" t="s">
        <v>7</v>
      </c>
      <c r="Y12" s="14" t="s">
        <v>1734</v>
      </c>
      <c r="AG12" t="s">
        <v>1043</v>
      </c>
      <c r="AI12" t="s">
        <v>61</v>
      </c>
    </row>
    <row r="13" spans="2:35" x14ac:dyDescent="0.3">
      <c r="B13" t="s">
        <v>1000</v>
      </c>
      <c r="C13" t="s">
        <v>1044</v>
      </c>
      <c r="D13" t="s">
        <v>1045</v>
      </c>
      <c r="F13" t="s">
        <v>23</v>
      </c>
      <c r="G13" t="s">
        <v>1046</v>
      </c>
      <c r="O13" s="14"/>
      <c r="P13" s="14"/>
      <c r="S13" s="14" t="s">
        <v>7</v>
      </c>
      <c r="T13" t="s">
        <v>1004</v>
      </c>
      <c r="V13" t="s">
        <v>995</v>
      </c>
      <c r="W13" t="b">
        <v>1</v>
      </c>
      <c r="X13" t="s">
        <v>7</v>
      </c>
      <c r="Y13" s="14" t="s">
        <v>1741</v>
      </c>
      <c r="AG13" t="s">
        <v>1047</v>
      </c>
      <c r="AI13" t="s">
        <v>61</v>
      </c>
    </row>
    <row r="14" spans="2:35" x14ac:dyDescent="0.3">
      <c r="B14" t="s">
        <v>1000</v>
      </c>
      <c r="C14" t="s">
        <v>1048</v>
      </c>
      <c r="D14" t="s">
        <v>1049</v>
      </c>
      <c r="F14" t="s">
        <v>24</v>
      </c>
      <c r="G14" t="s">
        <v>1050</v>
      </c>
      <c r="S14" t="s">
        <v>7</v>
      </c>
      <c r="T14" t="s">
        <v>1004</v>
      </c>
      <c r="V14" t="s">
        <v>995</v>
      </c>
      <c r="W14" t="b">
        <v>1</v>
      </c>
      <c r="X14" t="s">
        <v>7</v>
      </c>
      <c r="Y14" s="27" t="s">
        <v>1742</v>
      </c>
      <c r="AG14" t="s">
        <v>1051</v>
      </c>
      <c r="AI14" t="s">
        <v>61</v>
      </c>
    </row>
    <row r="15" spans="2:35" x14ac:dyDescent="0.3">
      <c r="B15" t="s">
        <v>1000</v>
      </c>
      <c r="C15" t="s">
        <v>1052</v>
      </c>
      <c r="D15" t="s">
        <v>1053</v>
      </c>
      <c r="F15" t="s">
        <v>25</v>
      </c>
      <c r="G15" t="s">
        <v>1054</v>
      </c>
      <c r="O15" s="14"/>
      <c r="P15" s="14"/>
      <c r="S15" t="s">
        <v>7</v>
      </c>
      <c r="T15" t="s">
        <v>1004</v>
      </c>
      <c r="V15" t="s">
        <v>995</v>
      </c>
      <c r="W15" t="b">
        <v>1</v>
      </c>
      <c r="X15" t="s">
        <v>7</v>
      </c>
      <c r="Y15" s="14" t="s">
        <v>1743</v>
      </c>
      <c r="Z15" s="14"/>
      <c r="AA15" s="14"/>
      <c r="AG15" t="s">
        <v>1055</v>
      </c>
      <c r="AI15" t="s">
        <v>61</v>
      </c>
    </row>
    <row r="16" spans="2:35" x14ac:dyDescent="0.3">
      <c r="B16" t="s">
        <v>1000</v>
      </c>
      <c r="C16" t="s">
        <v>1056</v>
      </c>
      <c r="D16" t="s">
        <v>1057</v>
      </c>
      <c r="F16" t="s">
        <v>26</v>
      </c>
      <c r="G16" t="s">
        <v>1058</v>
      </c>
      <c r="O16" s="14"/>
      <c r="P16" s="14"/>
      <c r="S16" s="14" t="s">
        <v>7</v>
      </c>
      <c r="T16" t="s">
        <v>1004</v>
      </c>
      <c r="V16" t="s">
        <v>995</v>
      </c>
      <c r="W16" t="b">
        <v>1</v>
      </c>
      <c r="X16" t="s">
        <v>7</v>
      </c>
      <c r="Y16" s="14" t="s">
        <v>1744</v>
      </c>
      <c r="Z16" s="14"/>
      <c r="AA16" s="14"/>
      <c r="AG16" t="s">
        <v>1059</v>
      </c>
      <c r="AI16" t="s">
        <v>61</v>
      </c>
    </row>
    <row r="17" spans="2:35" x14ac:dyDescent="0.3">
      <c r="B17" t="s">
        <v>1000</v>
      </c>
      <c r="C17" t="s">
        <v>1060</v>
      </c>
      <c r="D17" t="s">
        <v>1061</v>
      </c>
      <c r="F17" t="s">
        <v>27</v>
      </c>
      <c r="G17" t="s">
        <v>1062</v>
      </c>
      <c r="O17" s="14"/>
      <c r="P17" s="14"/>
      <c r="S17" t="s">
        <v>7</v>
      </c>
      <c r="T17" t="s">
        <v>1004</v>
      </c>
      <c r="V17" t="s">
        <v>995</v>
      </c>
      <c r="W17" t="b">
        <v>1</v>
      </c>
      <c r="X17" t="s">
        <v>7</v>
      </c>
      <c r="Y17" s="14" t="s">
        <v>1745</v>
      </c>
      <c r="Z17" s="14"/>
      <c r="AA17" s="14"/>
      <c r="AG17" t="s">
        <v>1063</v>
      </c>
      <c r="AI17" t="s">
        <v>61</v>
      </c>
    </row>
    <row r="18" spans="2:35" x14ac:dyDescent="0.3">
      <c r="B18" t="s">
        <v>998</v>
      </c>
      <c r="C18" t="s">
        <v>1064</v>
      </c>
      <c r="D18" t="s">
        <v>998</v>
      </c>
      <c r="E18">
        <v>4</v>
      </c>
      <c r="O18" s="14"/>
      <c r="P18" s="14"/>
      <c r="Y18" s="14"/>
      <c r="Z18" s="14"/>
      <c r="AA18" s="14"/>
      <c r="AI18" t="s">
        <v>61</v>
      </c>
    </row>
    <row r="19" spans="2:35" x14ac:dyDescent="0.3">
      <c r="B19" t="s">
        <v>39</v>
      </c>
      <c r="C19" t="s">
        <v>1065</v>
      </c>
      <c r="F19" t="s">
        <v>10</v>
      </c>
      <c r="K19" t="b">
        <v>0</v>
      </c>
      <c r="O19" s="14"/>
      <c r="P19" s="14"/>
      <c r="V19" t="s">
        <v>5</v>
      </c>
      <c r="Y19" s="14" t="s">
        <v>6</v>
      </c>
      <c r="Z19" s="14"/>
      <c r="AA19" s="14"/>
    </row>
    <row r="20" spans="2:35" x14ac:dyDescent="0.3">
      <c r="B20" t="s">
        <v>1000</v>
      </c>
      <c r="C20" t="s">
        <v>1066</v>
      </c>
      <c r="D20" t="s">
        <v>1067</v>
      </c>
      <c r="F20" t="s">
        <v>11</v>
      </c>
      <c r="G20" t="s">
        <v>1068</v>
      </c>
      <c r="O20" s="14"/>
      <c r="P20" s="14"/>
      <c r="S20" t="s">
        <v>7</v>
      </c>
      <c r="T20" t="s">
        <v>1004</v>
      </c>
      <c r="V20" t="s">
        <v>995</v>
      </c>
      <c r="W20" t="b">
        <v>1</v>
      </c>
      <c r="X20" t="s">
        <v>7</v>
      </c>
      <c r="Y20" s="14" t="s">
        <v>1746</v>
      </c>
      <c r="Z20" s="14"/>
      <c r="AA20" s="14"/>
      <c r="AG20" t="s">
        <v>1069</v>
      </c>
      <c r="AI20" t="s">
        <v>61</v>
      </c>
    </row>
    <row r="21" spans="2:35" x14ac:dyDescent="0.3">
      <c r="B21" t="s">
        <v>1000</v>
      </c>
      <c r="C21" t="s">
        <v>1070</v>
      </c>
      <c r="D21" t="s">
        <v>1071</v>
      </c>
      <c r="F21" t="s">
        <v>12</v>
      </c>
      <c r="G21" t="s">
        <v>1072</v>
      </c>
      <c r="O21" s="14"/>
      <c r="P21" s="14"/>
      <c r="S21" t="s">
        <v>7</v>
      </c>
      <c r="T21" t="s">
        <v>1004</v>
      </c>
      <c r="V21" t="s">
        <v>995</v>
      </c>
      <c r="W21" t="b">
        <v>1</v>
      </c>
      <c r="X21" t="s">
        <v>7</v>
      </c>
      <c r="Y21" s="14" t="s">
        <v>1747</v>
      </c>
      <c r="Z21" s="14"/>
      <c r="AA21" s="14"/>
      <c r="AG21" t="s">
        <v>1073</v>
      </c>
      <c r="AI21" t="s">
        <v>61</v>
      </c>
    </row>
    <row r="22" spans="2:35" x14ac:dyDescent="0.3">
      <c r="B22" t="s">
        <v>39</v>
      </c>
      <c r="C22" t="s">
        <v>1074</v>
      </c>
      <c r="F22" t="s">
        <v>14</v>
      </c>
      <c r="K22" t="b">
        <v>0</v>
      </c>
      <c r="O22" s="14"/>
      <c r="P22" s="14"/>
      <c r="S22" s="14"/>
      <c r="V22" t="s">
        <v>5</v>
      </c>
      <c r="Y22" s="14" t="s">
        <v>6</v>
      </c>
      <c r="Z22" s="14"/>
      <c r="AA22" s="14"/>
    </row>
    <row r="23" spans="2:35" x14ac:dyDescent="0.3">
      <c r="B23" t="s">
        <v>39</v>
      </c>
      <c r="C23" t="s">
        <v>1075</v>
      </c>
      <c r="F23" t="s">
        <v>15</v>
      </c>
      <c r="K23" t="b">
        <v>0</v>
      </c>
      <c r="O23" s="14"/>
      <c r="P23" s="14"/>
      <c r="V23" t="s">
        <v>5</v>
      </c>
      <c r="Y23" s="14" t="s">
        <v>6</v>
      </c>
      <c r="Z23" s="14"/>
      <c r="AA23" s="14"/>
    </row>
    <row r="24" spans="2:35" x14ac:dyDescent="0.3">
      <c r="B24" t="s">
        <v>39</v>
      </c>
      <c r="C24" t="s">
        <v>1076</v>
      </c>
      <c r="F24" t="s">
        <v>16</v>
      </c>
      <c r="K24" t="b">
        <v>0</v>
      </c>
      <c r="O24" s="14"/>
      <c r="P24" s="14"/>
      <c r="V24" t="s">
        <v>5</v>
      </c>
      <c r="Y24" s="14" t="s">
        <v>6</v>
      </c>
      <c r="Z24" s="14"/>
      <c r="AA24" s="14"/>
    </row>
    <row r="25" spans="2:35" x14ac:dyDescent="0.3">
      <c r="B25" t="s">
        <v>39</v>
      </c>
      <c r="C25" t="s">
        <v>1077</v>
      </c>
      <c r="F25" t="s">
        <v>18</v>
      </c>
      <c r="K25" t="b">
        <v>0</v>
      </c>
      <c r="O25" s="14"/>
      <c r="P25" s="14"/>
      <c r="V25" t="s">
        <v>5</v>
      </c>
      <c r="Y25" s="14" t="s">
        <v>6</v>
      </c>
      <c r="Z25" s="14"/>
      <c r="AA25" s="14"/>
    </row>
    <row r="26" spans="2:35" x14ac:dyDescent="0.3">
      <c r="B26" t="s">
        <v>39</v>
      </c>
      <c r="C26" t="s">
        <v>1078</v>
      </c>
      <c r="F26" t="s">
        <v>19</v>
      </c>
      <c r="K26" t="b">
        <v>0</v>
      </c>
      <c r="O26" s="14"/>
      <c r="P26" s="14"/>
      <c r="V26" t="s">
        <v>5</v>
      </c>
      <c r="Y26" s="14" t="s">
        <v>6</v>
      </c>
      <c r="Z26" s="14"/>
      <c r="AA26" s="14"/>
    </row>
    <row r="27" spans="2:35" x14ac:dyDescent="0.3">
      <c r="B27" t="s">
        <v>39</v>
      </c>
      <c r="C27" t="s">
        <v>1079</v>
      </c>
      <c r="F27" t="s">
        <v>20</v>
      </c>
      <c r="K27" t="b">
        <v>0</v>
      </c>
      <c r="O27" s="14"/>
      <c r="P27" s="14"/>
      <c r="S27" s="14"/>
      <c r="V27" t="s">
        <v>5</v>
      </c>
      <c r="Y27" s="14" t="s">
        <v>6</v>
      </c>
      <c r="Z27" s="14"/>
      <c r="AA27" s="14"/>
    </row>
    <row r="28" spans="2:35" x14ac:dyDescent="0.3">
      <c r="B28" t="s">
        <v>39</v>
      </c>
      <c r="C28" t="s">
        <v>1080</v>
      </c>
      <c r="F28" t="s">
        <v>21</v>
      </c>
      <c r="K28" t="b">
        <v>0</v>
      </c>
      <c r="O28" s="14"/>
      <c r="P28" s="14"/>
      <c r="V28" t="s">
        <v>5</v>
      </c>
      <c r="Y28" s="14" t="s">
        <v>6</v>
      </c>
      <c r="Z28" s="14"/>
      <c r="AA28" s="14"/>
    </row>
    <row r="29" spans="2:35" x14ac:dyDescent="0.3">
      <c r="B29" t="s">
        <v>39</v>
      </c>
      <c r="C29" t="s">
        <v>1081</v>
      </c>
      <c r="F29" t="s">
        <v>22</v>
      </c>
      <c r="K29" t="b">
        <v>0</v>
      </c>
      <c r="O29" s="14"/>
      <c r="P29" s="14"/>
      <c r="V29" t="s">
        <v>5</v>
      </c>
      <c r="Y29" s="14" t="s">
        <v>6</v>
      </c>
      <c r="Z29" s="14"/>
      <c r="AA29" s="14"/>
    </row>
    <row r="30" spans="2:35" x14ac:dyDescent="0.3">
      <c r="B30" t="s">
        <v>39</v>
      </c>
      <c r="C30" t="s">
        <v>1082</v>
      </c>
      <c r="F30" t="s">
        <v>23</v>
      </c>
      <c r="K30" t="b">
        <v>0</v>
      </c>
      <c r="O30" s="14"/>
      <c r="P30" s="14"/>
      <c r="V30" t="s">
        <v>5</v>
      </c>
      <c r="Y30" s="14" t="s">
        <v>6</v>
      </c>
      <c r="Z30" s="14"/>
      <c r="AA30" s="14"/>
    </row>
    <row r="31" spans="2:35" x14ac:dyDescent="0.3">
      <c r="B31" t="s">
        <v>39</v>
      </c>
      <c r="C31" t="s">
        <v>1083</v>
      </c>
      <c r="F31" t="s">
        <v>24</v>
      </c>
      <c r="K31" t="b">
        <v>0</v>
      </c>
      <c r="O31" s="14"/>
      <c r="P31" s="14"/>
      <c r="V31" t="s">
        <v>5</v>
      </c>
      <c r="Y31" s="14" t="s">
        <v>6</v>
      </c>
      <c r="Z31" s="14"/>
      <c r="AA31" s="14"/>
    </row>
    <row r="32" spans="2:35" x14ac:dyDescent="0.3">
      <c r="B32" t="s">
        <v>39</v>
      </c>
      <c r="C32" t="s">
        <v>1084</v>
      </c>
      <c r="F32" t="s">
        <v>25</v>
      </c>
      <c r="K32" t="b">
        <v>0</v>
      </c>
      <c r="V32" t="s">
        <v>5</v>
      </c>
      <c r="Y32" t="s">
        <v>6</v>
      </c>
    </row>
    <row r="33" spans="2:35" x14ac:dyDescent="0.3">
      <c r="B33" t="s">
        <v>39</v>
      </c>
      <c r="C33" t="s">
        <v>1085</v>
      </c>
      <c r="F33" t="s">
        <v>26</v>
      </c>
      <c r="K33" t="b">
        <v>0</v>
      </c>
      <c r="O33" s="14"/>
      <c r="P33" s="14"/>
      <c r="V33" t="s">
        <v>5</v>
      </c>
      <c r="Y33" s="14" t="s">
        <v>6</v>
      </c>
      <c r="Z33" s="14"/>
      <c r="AA33" s="14"/>
    </row>
    <row r="34" spans="2:35" x14ac:dyDescent="0.3">
      <c r="B34" t="s">
        <v>39</v>
      </c>
      <c r="C34" t="s">
        <v>1086</v>
      </c>
      <c r="F34" t="s">
        <v>27</v>
      </c>
      <c r="K34" t="b">
        <v>0</v>
      </c>
      <c r="O34" s="14"/>
      <c r="P34" s="14"/>
      <c r="V34" t="s">
        <v>5</v>
      </c>
      <c r="Y34" s="14" t="s">
        <v>6</v>
      </c>
      <c r="Z34" s="14"/>
      <c r="AA34" s="14"/>
    </row>
    <row r="35" spans="2:35" x14ac:dyDescent="0.3">
      <c r="B35" t="s">
        <v>411</v>
      </c>
      <c r="C35" t="s">
        <v>1087</v>
      </c>
      <c r="D35" t="s">
        <v>411</v>
      </c>
      <c r="E35">
        <v>5</v>
      </c>
      <c r="O35" s="14"/>
      <c r="P35" s="14"/>
      <c r="Y35" s="14"/>
      <c r="Z35" s="14"/>
      <c r="AA35" s="14"/>
      <c r="AI35" t="s">
        <v>61</v>
      </c>
    </row>
    <row r="36" spans="2:35" x14ac:dyDescent="0.3">
      <c r="B36" t="s">
        <v>235</v>
      </c>
      <c r="C36" t="s">
        <v>1088</v>
      </c>
      <c r="D36" t="s">
        <v>1089</v>
      </c>
      <c r="F36" t="s">
        <v>10</v>
      </c>
      <c r="G36" t="s">
        <v>1090</v>
      </c>
      <c r="M36" t="s">
        <v>184</v>
      </c>
      <c r="N36" t="s">
        <v>9</v>
      </c>
      <c r="O36" s="14">
        <v>0</v>
      </c>
      <c r="P36" s="14">
        <v>1</v>
      </c>
      <c r="S36" s="14">
        <v>0</v>
      </c>
      <c r="W36" t="b">
        <v>1</v>
      </c>
      <c r="X36">
        <v>0</v>
      </c>
      <c r="Y36" s="14">
        <v>-0.24690000000000001</v>
      </c>
      <c r="Z36" s="14"/>
      <c r="AA36" s="14"/>
      <c r="AG36" t="s">
        <v>1091</v>
      </c>
      <c r="AI36" t="s">
        <v>61</v>
      </c>
    </row>
    <row r="37" spans="2:35" x14ac:dyDescent="0.3">
      <c r="B37" t="s">
        <v>235</v>
      </c>
      <c r="C37" t="s">
        <v>1092</v>
      </c>
      <c r="D37" t="s">
        <v>1089</v>
      </c>
      <c r="F37" t="s">
        <v>11</v>
      </c>
      <c r="G37" t="s">
        <v>1093</v>
      </c>
      <c r="M37" t="s">
        <v>184</v>
      </c>
      <c r="N37" t="s">
        <v>9</v>
      </c>
      <c r="O37" s="14">
        <v>0</v>
      </c>
      <c r="P37" s="14">
        <v>1</v>
      </c>
      <c r="S37" s="14">
        <v>0</v>
      </c>
      <c r="W37" t="b">
        <v>1</v>
      </c>
      <c r="X37">
        <v>0</v>
      </c>
      <c r="Y37" s="14">
        <v>-0.24759999999999999</v>
      </c>
      <c r="Z37" s="14"/>
      <c r="AA37" s="14"/>
      <c r="AG37" t="s">
        <v>1094</v>
      </c>
      <c r="AI37" t="s">
        <v>61</v>
      </c>
    </row>
    <row r="38" spans="2:35" x14ac:dyDescent="0.3">
      <c r="B38" t="s">
        <v>235</v>
      </c>
      <c r="C38" t="s">
        <v>1748</v>
      </c>
      <c r="D38" t="s">
        <v>1095</v>
      </c>
      <c r="F38" t="s">
        <v>12</v>
      </c>
      <c r="G38" t="s">
        <v>1096</v>
      </c>
      <c r="M38" t="s">
        <v>184</v>
      </c>
      <c r="N38" t="s">
        <v>9</v>
      </c>
      <c r="O38" s="14">
        <v>0</v>
      </c>
      <c r="P38" s="14">
        <v>1</v>
      </c>
      <c r="S38" s="14">
        <v>0</v>
      </c>
      <c r="W38" t="b">
        <v>1</v>
      </c>
      <c r="X38">
        <v>0</v>
      </c>
      <c r="Y38" s="14">
        <v>7.4999999999999997E-3</v>
      </c>
      <c r="Z38" s="14"/>
      <c r="AA38" s="14"/>
      <c r="AG38" t="s">
        <v>1097</v>
      </c>
      <c r="AI38" t="s">
        <v>61</v>
      </c>
    </row>
    <row r="39" spans="2:35" x14ac:dyDescent="0.3">
      <c r="B39" t="s">
        <v>235</v>
      </c>
      <c r="C39" t="s">
        <v>1749</v>
      </c>
      <c r="D39" t="s">
        <v>1098</v>
      </c>
      <c r="F39" t="s">
        <v>14</v>
      </c>
      <c r="G39" t="s">
        <v>1099</v>
      </c>
      <c r="M39" t="s">
        <v>184</v>
      </c>
      <c r="N39" t="s">
        <v>9</v>
      </c>
      <c r="O39" s="14">
        <v>0</v>
      </c>
      <c r="P39" s="14">
        <v>1</v>
      </c>
      <c r="S39" s="14">
        <v>0</v>
      </c>
      <c r="W39" t="b">
        <v>1</v>
      </c>
      <c r="X39">
        <v>0</v>
      </c>
      <c r="Y39" s="14">
        <v>0.34200000000000003</v>
      </c>
      <c r="Z39" s="14"/>
      <c r="AA39" s="14"/>
      <c r="AG39" t="s">
        <v>1100</v>
      </c>
      <c r="AI39" t="s">
        <v>61</v>
      </c>
    </row>
    <row r="40" spans="2:35" x14ac:dyDescent="0.3">
      <c r="B40" t="s">
        <v>39</v>
      </c>
      <c r="C40" t="s">
        <v>1101</v>
      </c>
      <c r="F40" t="s">
        <v>15</v>
      </c>
      <c r="K40" t="b">
        <v>0</v>
      </c>
      <c r="O40" s="14"/>
      <c r="P40" s="14"/>
      <c r="V40" t="s">
        <v>5</v>
      </c>
      <c r="Y40" s="14" t="s">
        <v>6</v>
      </c>
      <c r="Z40" s="14"/>
      <c r="AA40" s="14"/>
    </row>
    <row r="41" spans="2:35" x14ac:dyDescent="0.3">
      <c r="B41" t="s">
        <v>235</v>
      </c>
      <c r="C41" t="s">
        <v>1750</v>
      </c>
      <c r="D41" t="s">
        <v>1102</v>
      </c>
      <c r="F41" t="s">
        <v>16</v>
      </c>
      <c r="G41" t="s">
        <v>1103</v>
      </c>
      <c r="M41" t="s">
        <v>184</v>
      </c>
      <c r="N41" t="s">
        <v>9</v>
      </c>
      <c r="O41" s="14">
        <v>0</v>
      </c>
      <c r="P41" s="14">
        <v>1</v>
      </c>
      <c r="S41" s="14">
        <v>0</v>
      </c>
      <c r="W41" t="b">
        <v>1</v>
      </c>
      <c r="X41">
        <v>0</v>
      </c>
      <c r="Y41" s="14">
        <v>6.0000000000000001E-3</v>
      </c>
      <c r="Z41" s="14"/>
      <c r="AA41" s="14"/>
      <c r="AG41" t="s">
        <v>1104</v>
      </c>
      <c r="AI41" t="s">
        <v>61</v>
      </c>
    </row>
    <row r="42" spans="2:35" x14ac:dyDescent="0.3">
      <c r="B42" t="s">
        <v>235</v>
      </c>
      <c r="C42" t="s">
        <v>1751</v>
      </c>
      <c r="D42" t="s">
        <v>1105</v>
      </c>
      <c r="F42" t="s">
        <v>18</v>
      </c>
      <c r="G42" t="s">
        <v>1106</v>
      </c>
      <c r="M42" t="s">
        <v>184</v>
      </c>
      <c r="N42" t="s">
        <v>9</v>
      </c>
      <c r="O42" s="14">
        <v>0</v>
      </c>
      <c r="P42" s="14">
        <v>1</v>
      </c>
      <c r="S42" s="14">
        <v>0</v>
      </c>
      <c r="W42" t="b">
        <v>1</v>
      </c>
      <c r="X42">
        <v>0</v>
      </c>
      <c r="Y42" s="14">
        <v>4.4999999999999997E-3</v>
      </c>
      <c r="Z42" s="14"/>
      <c r="AA42" s="14"/>
      <c r="AG42" t="s">
        <v>1107</v>
      </c>
      <c r="AI42" t="s">
        <v>61</v>
      </c>
    </row>
    <row r="43" spans="2:35" x14ac:dyDescent="0.3">
      <c r="B43" t="s">
        <v>235</v>
      </c>
      <c r="C43" t="s">
        <v>1752</v>
      </c>
      <c r="D43" t="s">
        <v>1108</v>
      </c>
      <c r="F43" t="s">
        <v>19</v>
      </c>
      <c r="G43" t="s">
        <v>1109</v>
      </c>
      <c r="M43" t="s">
        <v>184</v>
      </c>
      <c r="N43" t="s">
        <v>9</v>
      </c>
      <c r="O43" s="14">
        <v>0</v>
      </c>
      <c r="P43" s="14">
        <v>1</v>
      </c>
      <c r="S43" s="14">
        <v>0</v>
      </c>
      <c r="W43" t="b">
        <v>1</v>
      </c>
      <c r="X43">
        <v>0</v>
      </c>
      <c r="Y43" s="14">
        <v>4.8999999999999998E-3</v>
      </c>
      <c r="Z43" s="14"/>
      <c r="AA43" s="14"/>
      <c r="AG43" t="s">
        <v>1110</v>
      </c>
      <c r="AI43" t="s">
        <v>61</v>
      </c>
    </row>
    <row r="44" spans="2:35" x14ac:dyDescent="0.3">
      <c r="B44" t="s">
        <v>235</v>
      </c>
      <c r="C44" t="s">
        <v>1753</v>
      </c>
      <c r="D44" t="s">
        <v>1111</v>
      </c>
      <c r="F44" t="s">
        <v>20</v>
      </c>
      <c r="G44" t="s">
        <v>1112</v>
      </c>
      <c r="M44" t="s">
        <v>184</v>
      </c>
      <c r="N44" t="s">
        <v>9</v>
      </c>
      <c r="O44" s="14">
        <v>0</v>
      </c>
      <c r="P44" s="14">
        <v>1</v>
      </c>
      <c r="S44" s="14">
        <v>0</v>
      </c>
      <c r="W44" t="b">
        <v>1</v>
      </c>
      <c r="X44">
        <v>0</v>
      </c>
      <c r="Y44" s="14">
        <v>0.36299999999999999</v>
      </c>
      <c r="Z44" s="14"/>
      <c r="AA44" s="14"/>
      <c r="AG44" t="s">
        <v>1113</v>
      </c>
      <c r="AI44" t="s">
        <v>61</v>
      </c>
    </row>
    <row r="45" spans="2:35" x14ac:dyDescent="0.3">
      <c r="B45" t="s">
        <v>235</v>
      </c>
      <c r="C45" t="s">
        <v>1754</v>
      </c>
      <c r="D45" t="s">
        <v>1114</v>
      </c>
      <c r="F45" t="s">
        <v>21</v>
      </c>
      <c r="G45" t="s">
        <v>1115</v>
      </c>
      <c r="M45" t="s">
        <v>184</v>
      </c>
      <c r="N45" t="s">
        <v>9</v>
      </c>
      <c r="O45" s="14">
        <v>0</v>
      </c>
      <c r="P45" s="14">
        <v>1</v>
      </c>
      <c r="S45" s="14">
        <v>0</v>
      </c>
      <c r="W45" t="b">
        <v>1</v>
      </c>
      <c r="X45">
        <v>0</v>
      </c>
      <c r="Y45" s="14">
        <v>0.41909999999999997</v>
      </c>
      <c r="Z45" s="14"/>
      <c r="AA45" s="14"/>
      <c r="AG45" t="s">
        <v>1116</v>
      </c>
      <c r="AI45" t="s">
        <v>61</v>
      </c>
    </row>
    <row r="46" spans="2:35" x14ac:dyDescent="0.3">
      <c r="B46" t="s">
        <v>235</v>
      </c>
      <c r="C46" t="s">
        <v>1117</v>
      </c>
      <c r="D46" t="s">
        <v>1118</v>
      </c>
      <c r="F46" t="s">
        <v>22</v>
      </c>
      <c r="G46" t="s">
        <v>1119</v>
      </c>
      <c r="M46" t="s">
        <v>184</v>
      </c>
      <c r="N46" t="s">
        <v>9</v>
      </c>
      <c r="O46" s="14">
        <v>0</v>
      </c>
      <c r="P46" s="14">
        <v>1</v>
      </c>
      <c r="S46" s="14">
        <v>0</v>
      </c>
      <c r="W46" t="b">
        <v>1</v>
      </c>
      <c r="X46">
        <v>0</v>
      </c>
      <c r="Y46" s="14">
        <v>0.998</v>
      </c>
      <c r="Z46" s="14"/>
      <c r="AA46" s="14"/>
      <c r="AG46" t="s">
        <v>1120</v>
      </c>
      <c r="AI46" t="s">
        <v>61</v>
      </c>
    </row>
    <row r="47" spans="2:35" x14ac:dyDescent="0.3">
      <c r="B47" t="s">
        <v>235</v>
      </c>
      <c r="C47" t="s">
        <v>1121</v>
      </c>
      <c r="D47" t="s">
        <v>1122</v>
      </c>
      <c r="F47" t="s">
        <v>23</v>
      </c>
      <c r="G47" t="s">
        <v>1123</v>
      </c>
      <c r="M47" t="s">
        <v>184</v>
      </c>
      <c r="N47" t="s">
        <v>9</v>
      </c>
      <c r="O47" s="14">
        <v>0</v>
      </c>
      <c r="P47" s="14">
        <v>1</v>
      </c>
      <c r="S47" s="14">
        <v>0</v>
      </c>
      <c r="W47" t="b">
        <v>1</v>
      </c>
      <c r="X47">
        <v>0</v>
      </c>
      <c r="Y47" s="14">
        <v>8.6E-3</v>
      </c>
      <c r="Z47" s="14"/>
      <c r="AA47" s="14"/>
      <c r="AG47" t="s">
        <v>1124</v>
      </c>
      <c r="AI47" t="s">
        <v>61</v>
      </c>
    </row>
    <row r="48" spans="2:35" x14ac:dyDescent="0.3">
      <c r="B48" t="s">
        <v>235</v>
      </c>
      <c r="C48" t="s">
        <v>1125</v>
      </c>
      <c r="D48" t="s">
        <v>1126</v>
      </c>
      <c r="F48" t="s">
        <v>24</v>
      </c>
      <c r="G48" t="s">
        <v>1127</v>
      </c>
      <c r="M48" t="s">
        <v>184</v>
      </c>
      <c r="N48" t="s">
        <v>9</v>
      </c>
      <c r="O48" s="14">
        <v>0</v>
      </c>
      <c r="P48" s="14">
        <v>1</v>
      </c>
      <c r="S48" s="14">
        <v>0</v>
      </c>
      <c r="W48" t="b">
        <v>1</v>
      </c>
      <c r="X48">
        <v>0</v>
      </c>
      <c r="Y48" s="14">
        <v>7.9000000000000008E-3</v>
      </c>
      <c r="Z48" s="14"/>
      <c r="AA48" s="14"/>
      <c r="AG48" t="s">
        <v>1128</v>
      </c>
      <c r="AI48" t="s">
        <v>61</v>
      </c>
    </row>
    <row r="49" spans="2:35" x14ac:dyDescent="0.3">
      <c r="B49" t="s">
        <v>235</v>
      </c>
      <c r="C49" t="s">
        <v>1129</v>
      </c>
      <c r="D49" t="s">
        <v>1130</v>
      </c>
      <c r="F49" t="s">
        <v>25</v>
      </c>
      <c r="G49" t="s">
        <v>1131</v>
      </c>
      <c r="M49" t="s">
        <v>184</v>
      </c>
      <c r="N49" t="s">
        <v>9</v>
      </c>
      <c r="O49" s="14">
        <v>0</v>
      </c>
      <c r="P49" s="14">
        <v>1</v>
      </c>
      <c r="S49" s="14">
        <v>0</v>
      </c>
      <c r="W49" t="b">
        <v>1</v>
      </c>
      <c r="X49">
        <v>0</v>
      </c>
      <c r="Y49" s="14">
        <v>7.1000000000000004E-3</v>
      </c>
      <c r="Z49" s="14"/>
      <c r="AA49" s="14"/>
      <c r="AG49" t="s">
        <v>1132</v>
      </c>
      <c r="AI49" t="s">
        <v>61</v>
      </c>
    </row>
    <row r="50" spans="2:35" x14ac:dyDescent="0.3">
      <c r="B50" t="s">
        <v>235</v>
      </c>
      <c r="C50" t="s">
        <v>1133</v>
      </c>
      <c r="D50" t="s">
        <v>1134</v>
      </c>
      <c r="F50" t="s">
        <v>26</v>
      </c>
      <c r="G50" t="s">
        <v>1135</v>
      </c>
      <c r="M50" t="s">
        <v>184</v>
      </c>
      <c r="N50" t="s">
        <v>9</v>
      </c>
      <c r="O50" s="14">
        <v>0</v>
      </c>
      <c r="P50" s="14">
        <v>1</v>
      </c>
      <c r="S50" s="14">
        <v>0</v>
      </c>
      <c r="W50" t="b">
        <v>1</v>
      </c>
      <c r="X50">
        <v>0</v>
      </c>
      <c r="Y50" s="14">
        <v>0.99939999999999996</v>
      </c>
      <c r="Z50" s="14"/>
      <c r="AA50" s="14"/>
      <c r="AG50" t="s">
        <v>1136</v>
      </c>
      <c r="AI50" t="s">
        <v>61</v>
      </c>
    </row>
    <row r="51" spans="2:35" x14ac:dyDescent="0.3">
      <c r="B51" t="s">
        <v>235</v>
      </c>
      <c r="C51" t="s">
        <v>1137</v>
      </c>
      <c r="D51" t="s">
        <v>1138</v>
      </c>
      <c r="F51" t="s">
        <v>27</v>
      </c>
      <c r="G51" t="s">
        <v>1139</v>
      </c>
      <c r="M51" t="s">
        <v>184</v>
      </c>
      <c r="N51" t="s">
        <v>9</v>
      </c>
      <c r="O51" s="14">
        <v>0</v>
      </c>
      <c r="P51" s="14">
        <v>1</v>
      </c>
      <c r="S51" s="14">
        <v>0</v>
      </c>
      <c r="W51" t="b">
        <v>1</v>
      </c>
      <c r="X51">
        <v>0</v>
      </c>
      <c r="Y51" s="14">
        <v>4.4999999999999997E-3</v>
      </c>
      <c r="Z51" s="14"/>
      <c r="AA51" s="14"/>
      <c r="AG51" t="s">
        <v>1140</v>
      </c>
      <c r="AI51" t="s">
        <v>61</v>
      </c>
    </row>
    <row r="52" spans="2:35" x14ac:dyDescent="0.3">
      <c r="B52" t="s">
        <v>411</v>
      </c>
      <c r="C52" t="s">
        <v>1141</v>
      </c>
      <c r="D52" t="s">
        <v>411</v>
      </c>
      <c r="E52">
        <v>6</v>
      </c>
      <c r="O52" s="14"/>
      <c r="P52" s="14"/>
      <c r="S52" s="14"/>
      <c r="Y52" s="14"/>
      <c r="Z52" s="14"/>
      <c r="AA52" s="14"/>
      <c r="AI52" t="s">
        <v>61</v>
      </c>
    </row>
    <row r="53" spans="2:35" x14ac:dyDescent="0.3">
      <c r="B53" t="s">
        <v>235</v>
      </c>
      <c r="C53" t="s">
        <v>1142</v>
      </c>
      <c r="D53" t="s">
        <v>1143</v>
      </c>
      <c r="F53" t="s">
        <v>10</v>
      </c>
      <c r="G53" t="s">
        <v>1144</v>
      </c>
      <c r="M53" t="s">
        <v>184</v>
      </c>
      <c r="N53" t="s">
        <v>9</v>
      </c>
      <c r="O53" s="14">
        <v>0</v>
      </c>
      <c r="P53" s="14">
        <v>1</v>
      </c>
      <c r="S53" s="14">
        <v>0</v>
      </c>
      <c r="W53" t="b">
        <v>1</v>
      </c>
      <c r="X53">
        <v>0</v>
      </c>
      <c r="Y53" s="14">
        <v>0.3322</v>
      </c>
      <c r="Z53" s="14"/>
      <c r="AA53" s="14"/>
      <c r="AG53" t="s">
        <v>1145</v>
      </c>
      <c r="AI53" t="s">
        <v>61</v>
      </c>
    </row>
    <row r="54" spans="2:35" x14ac:dyDescent="0.3">
      <c r="B54" t="s">
        <v>235</v>
      </c>
      <c r="C54" t="s">
        <v>1146</v>
      </c>
      <c r="D54" t="s">
        <v>1147</v>
      </c>
      <c r="F54" t="s">
        <v>11</v>
      </c>
      <c r="G54" t="s">
        <v>1148</v>
      </c>
      <c r="M54" t="s">
        <v>184</v>
      </c>
      <c r="N54" t="s">
        <v>9</v>
      </c>
      <c r="O54" s="14">
        <v>0</v>
      </c>
      <c r="P54" s="14">
        <v>1</v>
      </c>
      <c r="S54" s="14">
        <v>0</v>
      </c>
      <c r="W54" t="b">
        <v>1</v>
      </c>
      <c r="X54">
        <v>0</v>
      </c>
      <c r="Y54" s="14">
        <v>0.99429999999999996</v>
      </c>
      <c r="AG54" t="s">
        <v>1149</v>
      </c>
      <c r="AI54" t="s">
        <v>61</v>
      </c>
    </row>
    <row r="55" spans="2:35" x14ac:dyDescent="0.3">
      <c r="B55" t="s">
        <v>235</v>
      </c>
      <c r="C55" t="s">
        <v>1150</v>
      </c>
      <c r="D55" t="s">
        <v>1147</v>
      </c>
      <c r="F55" t="s">
        <v>12</v>
      </c>
      <c r="G55" t="s">
        <v>1151</v>
      </c>
      <c r="M55" t="s">
        <v>184</v>
      </c>
      <c r="N55" t="s">
        <v>9</v>
      </c>
      <c r="O55" s="14">
        <v>0</v>
      </c>
      <c r="P55" s="14">
        <v>1</v>
      </c>
      <c r="S55" s="14">
        <v>0</v>
      </c>
      <c r="W55" t="b">
        <v>1</v>
      </c>
      <c r="X55">
        <v>0</v>
      </c>
      <c r="Y55" s="14">
        <v>-0.25</v>
      </c>
      <c r="AG55" t="s">
        <v>1152</v>
      </c>
      <c r="AI55" t="s">
        <v>61</v>
      </c>
    </row>
    <row r="56" spans="2:35" x14ac:dyDescent="0.3">
      <c r="B56" t="s">
        <v>235</v>
      </c>
      <c r="C56" t="s">
        <v>1153</v>
      </c>
      <c r="D56" t="s">
        <v>1154</v>
      </c>
      <c r="F56" t="s">
        <v>14</v>
      </c>
      <c r="G56" t="s">
        <v>1155</v>
      </c>
      <c r="M56" t="s">
        <v>184</v>
      </c>
      <c r="N56" t="s">
        <v>9</v>
      </c>
      <c r="O56" s="14">
        <v>0</v>
      </c>
      <c r="P56" s="14">
        <v>1</v>
      </c>
      <c r="S56" s="14">
        <v>0</v>
      </c>
      <c r="W56" t="b">
        <v>1</v>
      </c>
      <c r="X56">
        <v>0</v>
      </c>
      <c r="Y56" s="14">
        <v>5.1000000000000004E-3</v>
      </c>
      <c r="AG56" t="s">
        <v>1156</v>
      </c>
      <c r="AI56" t="s">
        <v>61</v>
      </c>
    </row>
    <row r="57" spans="2:35" x14ac:dyDescent="0.3">
      <c r="B57" t="s">
        <v>235</v>
      </c>
      <c r="C57" t="s">
        <v>1157</v>
      </c>
      <c r="D57" t="s">
        <v>1158</v>
      </c>
      <c r="F57" t="s">
        <v>15</v>
      </c>
      <c r="G57" t="s">
        <v>1159</v>
      </c>
      <c r="M57" t="s">
        <v>184</v>
      </c>
      <c r="N57" t="s">
        <v>9</v>
      </c>
      <c r="O57" s="14">
        <v>0</v>
      </c>
      <c r="P57" s="14">
        <v>1</v>
      </c>
      <c r="S57" s="14">
        <v>0</v>
      </c>
      <c r="W57" t="b">
        <v>1</v>
      </c>
      <c r="X57">
        <v>0</v>
      </c>
      <c r="Y57" s="14">
        <v>5.5999999999999999E-3</v>
      </c>
      <c r="AG57" t="s">
        <v>1160</v>
      </c>
      <c r="AI57" t="s">
        <v>61</v>
      </c>
    </row>
    <row r="58" spans="2:35" x14ac:dyDescent="0.3">
      <c r="B58" t="s">
        <v>235</v>
      </c>
      <c r="C58" t="s">
        <v>1161</v>
      </c>
      <c r="D58" t="s">
        <v>1162</v>
      </c>
      <c r="F58" t="s">
        <v>16</v>
      </c>
      <c r="G58" t="s">
        <v>1163</v>
      </c>
      <c r="M58" t="s">
        <v>184</v>
      </c>
      <c r="N58" t="s">
        <v>9</v>
      </c>
      <c r="O58" s="14">
        <v>0</v>
      </c>
      <c r="P58" s="14">
        <v>1</v>
      </c>
      <c r="S58" s="14">
        <v>0</v>
      </c>
      <c r="W58" t="b">
        <v>1</v>
      </c>
      <c r="X58">
        <v>0</v>
      </c>
      <c r="Y58" s="14">
        <v>6.7000000000000002E-3</v>
      </c>
      <c r="AG58" t="s">
        <v>1164</v>
      </c>
      <c r="AI58" t="s">
        <v>61</v>
      </c>
    </row>
    <row r="59" spans="2:35" x14ac:dyDescent="0.3">
      <c r="B59" t="s">
        <v>235</v>
      </c>
      <c r="C59" t="s">
        <v>1165</v>
      </c>
      <c r="D59" t="s">
        <v>1162</v>
      </c>
      <c r="F59" t="s">
        <v>18</v>
      </c>
      <c r="G59" t="s">
        <v>1166</v>
      </c>
      <c r="M59" t="s">
        <v>184</v>
      </c>
      <c r="N59" t="s">
        <v>9</v>
      </c>
      <c r="O59" s="14">
        <v>0</v>
      </c>
      <c r="P59" s="14">
        <v>1</v>
      </c>
      <c r="S59" s="14">
        <v>0</v>
      </c>
      <c r="W59" t="b">
        <v>1</v>
      </c>
      <c r="X59">
        <v>0</v>
      </c>
      <c r="Y59" s="14">
        <v>4.4999999999999997E-3</v>
      </c>
      <c r="AG59" t="s">
        <v>1167</v>
      </c>
      <c r="AI59" t="s">
        <v>61</v>
      </c>
    </row>
    <row r="60" spans="2:35" x14ac:dyDescent="0.3">
      <c r="B60" t="s">
        <v>235</v>
      </c>
      <c r="C60" t="s">
        <v>1168</v>
      </c>
      <c r="D60" t="s">
        <v>1162</v>
      </c>
      <c r="F60" t="s">
        <v>19</v>
      </c>
      <c r="G60" t="s">
        <v>1169</v>
      </c>
      <c r="M60" t="s">
        <v>184</v>
      </c>
      <c r="N60" t="s">
        <v>9</v>
      </c>
      <c r="O60" s="14">
        <v>0</v>
      </c>
      <c r="P60" s="14">
        <v>1</v>
      </c>
      <c r="S60" s="14">
        <v>0</v>
      </c>
      <c r="W60" t="b">
        <v>1</v>
      </c>
      <c r="X60">
        <v>0</v>
      </c>
      <c r="Y60" s="14">
        <v>4.8999999999999998E-3</v>
      </c>
      <c r="AG60" t="s">
        <v>1170</v>
      </c>
      <c r="AI60" t="s">
        <v>61</v>
      </c>
    </row>
    <row r="61" spans="2:35" x14ac:dyDescent="0.3">
      <c r="B61" t="s">
        <v>235</v>
      </c>
      <c r="C61" t="s">
        <v>1171</v>
      </c>
      <c r="D61" t="s">
        <v>1162</v>
      </c>
      <c r="F61" t="s">
        <v>20</v>
      </c>
      <c r="G61" t="s">
        <v>1172</v>
      </c>
      <c r="M61" t="s">
        <v>184</v>
      </c>
      <c r="N61" t="s">
        <v>9</v>
      </c>
      <c r="O61" s="14">
        <v>0</v>
      </c>
      <c r="P61" s="14">
        <v>1</v>
      </c>
      <c r="S61" s="14">
        <v>0</v>
      </c>
      <c r="W61" t="b">
        <v>1</v>
      </c>
      <c r="X61">
        <v>0</v>
      </c>
      <c r="Y61" s="14">
        <v>6.4999999999999997E-3</v>
      </c>
      <c r="AG61" t="s">
        <v>1173</v>
      </c>
      <c r="AI61" t="s">
        <v>61</v>
      </c>
    </row>
    <row r="62" spans="2:35" x14ac:dyDescent="0.3">
      <c r="B62" t="s">
        <v>235</v>
      </c>
      <c r="C62" t="s">
        <v>1174</v>
      </c>
      <c r="D62" t="s">
        <v>1175</v>
      </c>
      <c r="F62" t="s">
        <v>21</v>
      </c>
      <c r="G62" t="s">
        <v>1176</v>
      </c>
      <c r="M62" t="s">
        <v>184</v>
      </c>
      <c r="N62" t="s">
        <v>9</v>
      </c>
      <c r="O62" s="14">
        <v>0</v>
      </c>
      <c r="P62" s="14">
        <v>1</v>
      </c>
      <c r="S62" s="14">
        <v>0</v>
      </c>
      <c r="W62" t="b">
        <v>1</v>
      </c>
      <c r="X62">
        <v>0</v>
      </c>
      <c r="Y62" s="14">
        <v>7.6E-3</v>
      </c>
      <c r="AG62" t="s">
        <v>1177</v>
      </c>
      <c r="AI62" t="s">
        <v>61</v>
      </c>
    </row>
    <row r="63" spans="2:35" x14ac:dyDescent="0.3">
      <c r="B63" t="s">
        <v>235</v>
      </c>
      <c r="C63" t="s">
        <v>1178</v>
      </c>
      <c r="D63" t="s">
        <v>1179</v>
      </c>
      <c r="F63" t="s">
        <v>22</v>
      </c>
      <c r="G63" t="s">
        <v>1180</v>
      </c>
      <c r="M63" t="s">
        <v>8</v>
      </c>
      <c r="N63" t="s">
        <v>9</v>
      </c>
      <c r="O63" s="14">
        <v>0</v>
      </c>
      <c r="P63" s="14">
        <v>1</v>
      </c>
      <c r="S63" s="14">
        <v>0</v>
      </c>
      <c r="W63" t="b">
        <v>1</v>
      </c>
      <c r="X63">
        <v>0</v>
      </c>
      <c r="Y63" s="14">
        <v>0</v>
      </c>
      <c r="Z63" s="14"/>
      <c r="AA63" s="14"/>
      <c r="AG63" t="s">
        <v>1181</v>
      </c>
      <c r="AH63" t="s">
        <v>1755</v>
      </c>
      <c r="AI63" t="s">
        <v>61</v>
      </c>
    </row>
    <row r="64" spans="2:35" x14ac:dyDescent="0.3">
      <c r="B64" t="s">
        <v>235</v>
      </c>
      <c r="C64" t="s">
        <v>1182</v>
      </c>
      <c r="D64" t="s">
        <v>1183</v>
      </c>
      <c r="F64" t="s">
        <v>23</v>
      </c>
      <c r="G64" t="s">
        <v>1184</v>
      </c>
      <c r="M64" t="s">
        <v>8</v>
      </c>
      <c r="N64" t="s">
        <v>9</v>
      </c>
      <c r="O64" s="14">
        <v>0</v>
      </c>
      <c r="P64" s="14">
        <v>1</v>
      </c>
      <c r="S64" s="14">
        <v>0</v>
      </c>
      <c r="W64" t="b">
        <v>1</v>
      </c>
      <c r="X64">
        <v>0</v>
      </c>
      <c r="Y64" s="14">
        <v>5.1000000000000004E-3</v>
      </c>
      <c r="AG64" t="s">
        <v>1185</v>
      </c>
      <c r="AI64" t="s">
        <v>61</v>
      </c>
    </row>
    <row r="65" spans="2:35" x14ac:dyDescent="0.3">
      <c r="B65" t="s">
        <v>235</v>
      </c>
      <c r="C65" t="s">
        <v>1186</v>
      </c>
      <c r="D65" t="s">
        <v>1187</v>
      </c>
      <c r="F65" t="s">
        <v>24</v>
      </c>
      <c r="G65" t="s">
        <v>1188</v>
      </c>
      <c r="M65" t="s">
        <v>8</v>
      </c>
      <c r="N65" t="s">
        <v>9</v>
      </c>
      <c r="O65" s="14">
        <v>0</v>
      </c>
      <c r="P65" s="14">
        <v>1</v>
      </c>
      <c r="S65" s="14">
        <v>0</v>
      </c>
      <c r="W65" t="b">
        <v>1</v>
      </c>
      <c r="X65">
        <v>0</v>
      </c>
      <c r="Y65" s="14">
        <v>5.4000000000000003E-3</v>
      </c>
      <c r="AG65" t="s">
        <v>1189</v>
      </c>
      <c r="AI65" t="s">
        <v>61</v>
      </c>
    </row>
    <row r="66" spans="2:35" x14ac:dyDescent="0.3">
      <c r="B66" t="s">
        <v>235</v>
      </c>
      <c r="C66" t="s">
        <v>1190</v>
      </c>
      <c r="D66" t="s">
        <v>1191</v>
      </c>
      <c r="F66" t="s">
        <v>25</v>
      </c>
      <c r="G66" t="s">
        <v>1192</v>
      </c>
      <c r="M66" t="s">
        <v>8</v>
      </c>
      <c r="N66" t="s">
        <v>9</v>
      </c>
      <c r="O66" s="14">
        <v>0</v>
      </c>
      <c r="P66" s="14">
        <v>1</v>
      </c>
      <c r="S66" s="14">
        <v>0</v>
      </c>
      <c r="W66" t="b">
        <v>1</v>
      </c>
      <c r="X66">
        <v>0</v>
      </c>
      <c r="Y66" s="14">
        <v>5.1000000000000004E-3</v>
      </c>
      <c r="AG66" t="s">
        <v>1193</v>
      </c>
      <c r="AI66" t="s">
        <v>61</v>
      </c>
    </row>
    <row r="67" spans="2:35" x14ac:dyDescent="0.3">
      <c r="B67" t="s">
        <v>38</v>
      </c>
      <c r="C67" t="s">
        <v>1756</v>
      </c>
      <c r="D67" t="s">
        <v>1757</v>
      </c>
      <c r="F67" t="s">
        <v>26</v>
      </c>
      <c r="G67" t="s">
        <v>1758</v>
      </c>
      <c r="H67" t="b">
        <v>1</v>
      </c>
      <c r="I67" t="s">
        <v>68</v>
      </c>
      <c r="J67" t="b">
        <v>1</v>
      </c>
      <c r="Y67" t="s">
        <v>62</v>
      </c>
      <c r="AG67" t="s">
        <v>1506</v>
      </c>
      <c r="AI67" t="s">
        <v>61</v>
      </c>
    </row>
    <row r="68" spans="2:35" x14ac:dyDescent="0.3">
      <c r="B68" t="s">
        <v>38</v>
      </c>
      <c r="C68" t="s">
        <v>1759</v>
      </c>
      <c r="D68" t="s">
        <v>1760</v>
      </c>
      <c r="F68" t="s">
        <v>27</v>
      </c>
      <c r="G68" t="s">
        <v>1761</v>
      </c>
      <c r="H68" t="b">
        <v>1</v>
      </c>
      <c r="I68" t="s">
        <v>68</v>
      </c>
      <c r="J68" t="b">
        <v>1</v>
      </c>
      <c r="O68" s="14"/>
      <c r="P68" s="14"/>
      <c r="S68" s="14"/>
      <c r="Y68" s="14" t="s">
        <v>62</v>
      </c>
      <c r="AI68" t="s">
        <v>61</v>
      </c>
    </row>
    <row r="69" spans="2:35" x14ac:dyDescent="0.3">
      <c r="B69" t="s">
        <v>411</v>
      </c>
      <c r="C69" t="s">
        <v>1194</v>
      </c>
      <c r="D69" t="s">
        <v>411</v>
      </c>
      <c r="E69">
        <v>7</v>
      </c>
      <c r="O69" s="14"/>
      <c r="P69" s="14"/>
      <c r="S69" s="14"/>
      <c r="Y69" s="14"/>
      <c r="AI69" t="s">
        <v>61</v>
      </c>
    </row>
    <row r="70" spans="2:35" x14ac:dyDescent="0.3">
      <c r="B70" t="s">
        <v>235</v>
      </c>
      <c r="C70" t="s">
        <v>1195</v>
      </c>
      <c r="D70" t="s">
        <v>1196</v>
      </c>
      <c r="F70" t="s">
        <v>10</v>
      </c>
      <c r="G70" t="s">
        <v>1197</v>
      </c>
      <c r="M70" t="s">
        <v>184</v>
      </c>
      <c r="N70" t="s">
        <v>9</v>
      </c>
      <c r="O70" s="14" t="s">
        <v>1198</v>
      </c>
      <c r="P70" s="14" t="s">
        <v>1199</v>
      </c>
      <c r="S70" s="14" t="s">
        <v>1198</v>
      </c>
      <c r="W70" t="b">
        <v>1</v>
      </c>
      <c r="X70">
        <v>0</v>
      </c>
      <c r="Y70" s="14" t="s">
        <v>1762</v>
      </c>
      <c r="AG70" t="s">
        <v>1200</v>
      </c>
      <c r="AI70" t="s">
        <v>61</v>
      </c>
    </row>
    <row r="71" spans="2:35" x14ac:dyDescent="0.3">
      <c r="B71" t="s">
        <v>235</v>
      </c>
      <c r="C71" t="s">
        <v>1201</v>
      </c>
      <c r="D71" t="s">
        <v>1196</v>
      </c>
      <c r="F71" t="s">
        <v>11</v>
      </c>
      <c r="G71" t="s">
        <v>1202</v>
      </c>
      <c r="M71" t="s">
        <v>184</v>
      </c>
      <c r="N71" t="s">
        <v>9</v>
      </c>
      <c r="O71" s="14" t="s">
        <v>1198</v>
      </c>
      <c r="P71" s="14" t="s">
        <v>1199</v>
      </c>
      <c r="S71" s="14" t="s">
        <v>1198</v>
      </c>
      <c r="W71" t="b">
        <v>1</v>
      </c>
      <c r="X71">
        <v>0</v>
      </c>
      <c r="Y71" s="14" t="s">
        <v>1763</v>
      </c>
      <c r="AG71" t="s">
        <v>1203</v>
      </c>
      <c r="AI71" t="s">
        <v>61</v>
      </c>
    </row>
    <row r="72" spans="2:35" x14ac:dyDescent="0.3">
      <c r="B72" t="s">
        <v>235</v>
      </c>
      <c r="C72" t="s">
        <v>1204</v>
      </c>
      <c r="D72" t="s">
        <v>1205</v>
      </c>
      <c r="F72" t="s">
        <v>12</v>
      </c>
      <c r="G72" t="s">
        <v>1206</v>
      </c>
      <c r="M72" t="s">
        <v>184</v>
      </c>
      <c r="N72" t="s">
        <v>9</v>
      </c>
      <c r="O72" s="14" t="s">
        <v>1198</v>
      </c>
      <c r="P72" s="14" t="s">
        <v>1207</v>
      </c>
      <c r="S72" s="14" t="s">
        <v>1198</v>
      </c>
      <c r="W72" t="b">
        <v>1</v>
      </c>
      <c r="X72">
        <v>0</v>
      </c>
      <c r="Y72" s="14" t="s">
        <v>1764</v>
      </c>
      <c r="AG72" t="s">
        <v>1208</v>
      </c>
      <c r="AI72" t="s">
        <v>61</v>
      </c>
    </row>
    <row r="73" spans="2:35" x14ac:dyDescent="0.3">
      <c r="B73" t="s">
        <v>235</v>
      </c>
      <c r="C73" t="s">
        <v>1209</v>
      </c>
      <c r="D73" t="s">
        <v>1210</v>
      </c>
      <c r="F73" t="s">
        <v>14</v>
      </c>
      <c r="G73" t="s">
        <v>1211</v>
      </c>
      <c r="M73" t="s">
        <v>184</v>
      </c>
      <c r="N73" t="s">
        <v>9</v>
      </c>
      <c r="O73" s="14" t="s">
        <v>1198</v>
      </c>
      <c r="P73" s="14" t="s">
        <v>1212</v>
      </c>
      <c r="S73" s="14" t="s">
        <v>1198</v>
      </c>
      <c r="W73" t="b">
        <v>1</v>
      </c>
      <c r="X73">
        <v>0</v>
      </c>
      <c r="Y73" s="14" t="s">
        <v>1765</v>
      </c>
      <c r="AG73" t="s">
        <v>1213</v>
      </c>
      <c r="AI73" t="s">
        <v>61</v>
      </c>
    </row>
    <row r="74" spans="2:35" x14ac:dyDescent="0.3">
      <c r="B74" t="s">
        <v>235</v>
      </c>
      <c r="C74" t="s">
        <v>1214</v>
      </c>
      <c r="D74" t="s">
        <v>1215</v>
      </c>
      <c r="F74" t="s">
        <v>15</v>
      </c>
      <c r="G74" t="s">
        <v>1216</v>
      </c>
      <c r="M74" t="s">
        <v>184</v>
      </c>
      <c r="N74" t="s">
        <v>9</v>
      </c>
      <c r="O74" s="14" t="s">
        <v>1198</v>
      </c>
      <c r="P74" s="14" t="s">
        <v>1217</v>
      </c>
      <c r="S74" s="14" t="s">
        <v>1198</v>
      </c>
      <c r="W74" t="b">
        <v>1</v>
      </c>
      <c r="X74">
        <v>0</v>
      </c>
      <c r="Y74" s="14" t="s">
        <v>1766</v>
      </c>
      <c r="Z74" s="14"/>
      <c r="AA74" s="14"/>
      <c r="AG74" t="s">
        <v>1218</v>
      </c>
      <c r="AI74" t="s">
        <v>61</v>
      </c>
    </row>
    <row r="75" spans="2:35" x14ac:dyDescent="0.3">
      <c r="B75" t="s">
        <v>235</v>
      </c>
      <c r="C75" t="s">
        <v>1219</v>
      </c>
      <c r="D75" t="s">
        <v>1220</v>
      </c>
      <c r="F75" t="s">
        <v>16</v>
      </c>
      <c r="G75" t="s">
        <v>1221</v>
      </c>
      <c r="M75" t="s">
        <v>184</v>
      </c>
      <c r="N75" t="s">
        <v>9</v>
      </c>
      <c r="O75" s="14" t="s">
        <v>1198</v>
      </c>
      <c r="P75" s="14" t="s">
        <v>1222</v>
      </c>
      <c r="S75" s="14" t="s">
        <v>1198</v>
      </c>
      <c r="W75" t="b">
        <v>1</v>
      </c>
      <c r="X75">
        <v>0</v>
      </c>
      <c r="Y75" s="14" t="s">
        <v>1767</v>
      </c>
      <c r="Z75" s="14"/>
      <c r="AA75" s="14"/>
      <c r="AG75" t="s">
        <v>1223</v>
      </c>
      <c r="AI75" t="s">
        <v>61</v>
      </c>
    </row>
    <row r="76" spans="2:35" x14ac:dyDescent="0.3">
      <c r="B76" t="s">
        <v>235</v>
      </c>
      <c r="C76" t="s">
        <v>1224</v>
      </c>
      <c r="D76" t="s">
        <v>1225</v>
      </c>
      <c r="F76" t="s">
        <v>18</v>
      </c>
      <c r="G76" t="s">
        <v>1226</v>
      </c>
      <c r="M76" t="s">
        <v>184</v>
      </c>
      <c r="N76" t="s">
        <v>9</v>
      </c>
      <c r="O76" s="14" t="s">
        <v>1198</v>
      </c>
      <c r="P76" s="14" t="s">
        <v>1227</v>
      </c>
      <c r="S76" s="14" t="s">
        <v>1198</v>
      </c>
      <c r="W76" t="b">
        <v>1</v>
      </c>
      <c r="X76">
        <v>0</v>
      </c>
      <c r="Y76" s="14" t="s">
        <v>1768</v>
      </c>
      <c r="Z76" s="14"/>
      <c r="AA76" s="14"/>
      <c r="AG76" t="s">
        <v>1228</v>
      </c>
      <c r="AI76" t="s">
        <v>61</v>
      </c>
    </row>
    <row r="77" spans="2:35" x14ac:dyDescent="0.3">
      <c r="B77" t="s">
        <v>235</v>
      </c>
      <c r="C77" t="s">
        <v>1229</v>
      </c>
      <c r="D77" t="s">
        <v>1230</v>
      </c>
      <c r="F77" t="s">
        <v>19</v>
      </c>
      <c r="G77" t="s">
        <v>1231</v>
      </c>
      <c r="M77" t="s">
        <v>184</v>
      </c>
      <c r="N77" t="s">
        <v>9</v>
      </c>
      <c r="O77" s="14" t="s">
        <v>1198</v>
      </c>
      <c r="P77" s="14" t="s">
        <v>1199</v>
      </c>
      <c r="S77" s="14" t="s">
        <v>1198</v>
      </c>
      <c r="W77" t="b">
        <v>1</v>
      </c>
      <c r="X77">
        <v>0</v>
      </c>
      <c r="Y77" s="14" t="s">
        <v>1769</v>
      </c>
      <c r="Z77" s="14"/>
      <c r="AA77" s="14"/>
      <c r="AG77" t="s">
        <v>1232</v>
      </c>
      <c r="AI77" t="s">
        <v>61</v>
      </c>
    </row>
    <row r="78" spans="2:35" x14ac:dyDescent="0.3">
      <c r="B78" t="s">
        <v>235</v>
      </c>
      <c r="C78" t="s">
        <v>1233</v>
      </c>
      <c r="D78" t="s">
        <v>1234</v>
      </c>
      <c r="F78" t="s">
        <v>20</v>
      </c>
      <c r="G78" t="s">
        <v>1235</v>
      </c>
      <c r="M78" t="s">
        <v>184</v>
      </c>
      <c r="N78" t="s">
        <v>9</v>
      </c>
      <c r="O78" s="14" t="s">
        <v>1198</v>
      </c>
      <c r="P78" s="14" t="s">
        <v>1217</v>
      </c>
      <c r="S78" s="14" t="s">
        <v>1198</v>
      </c>
      <c r="W78" t="b">
        <v>1</v>
      </c>
      <c r="X78">
        <v>0</v>
      </c>
      <c r="Y78" s="14" t="s">
        <v>1236</v>
      </c>
      <c r="AG78" t="s">
        <v>1237</v>
      </c>
      <c r="AI78" t="s">
        <v>61</v>
      </c>
    </row>
    <row r="79" spans="2:35" x14ac:dyDescent="0.3">
      <c r="B79" t="s">
        <v>235</v>
      </c>
      <c r="C79" t="s">
        <v>1238</v>
      </c>
      <c r="D79" t="s">
        <v>1239</v>
      </c>
      <c r="F79" t="s">
        <v>21</v>
      </c>
      <c r="G79" t="s">
        <v>1240</v>
      </c>
      <c r="M79" t="s">
        <v>184</v>
      </c>
      <c r="N79" t="s">
        <v>9</v>
      </c>
      <c r="O79" s="14" t="s">
        <v>1198</v>
      </c>
      <c r="P79" s="14" t="s">
        <v>1241</v>
      </c>
      <c r="S79" s="14" t="s">
        <v>1198</v>
      </c>
      <c r="W79" t="b">
        <v>1</v>
      </c>
      <c r="X79">
        <v>0</v>
      </c>
      <c r="Y79" s="14" t="s">
        <v>1770</v>
      </c>
      <c r="AG79" t="s">
        <v>1242</v>
      </c>
      <c r="AI79" t="s">
        <v>61</v>
      </c>
    </row>
    <row r="80" spans="2:35" x14ac:dyDescent="0.3">
      <c r="B80" t="s">
        <v>235</v>
      </c>
      <c r="C80" t="s">
        <v>1243</v>
      </c>
      <c r="D80" t="s">
        <v>1244</v>
      </c>
      <c r="F80" t="s">
        <v>22</v>
      </c>
      <c r="G80" t="s">
        <v>1245</v>
      </c>
      <c r="M80" t="s">
        <v>184</v>
      </c>
      <c r="N80" t="s">
        <v>9</v>
      </c>
      <c r="O80" s="14" t="s">
        <v>1198</v>
      </c>
      <c r="P80" s="14" t="s">
        <v>1246</v>
      </c>
      <c r="S80" s="14" t="s">
        <v>1198</v>
      </c>
      <c r="W80" t="b">
        <v>1</v>
      </c>
      <c r="X80">
        <v>0</v>
      </c>
      <c r="Y80" s="14" t="s">
        <v>1771</v>
      </c>
      <c r="AG80" t="s">
        <v>1247</v>
      </c>
      <c r="AI80" t="s">
        <v>61</v>
      </c>
    </row>
    <row r="81" spans="2:35" x14ac:dyDescent="0.3">
      <c r="B81" t="s">
        <v>235</v>
      </c>
      <c r="C81" t="s">
        <v>1248</v>
      </c>
      <c r="D81" t="s">
        <v>1249</v>
      </c>
      <c r="F81" t="s">
        <v>23</v>
      </c>
      <c r="G81" t="s">
        <v>1250</v>
      </c>
      <c r="M81" t="s">
        <v>184</v>
      </c>
      <c r="N81" t="s">
        <v>9</v>
      </c>
      <c r="O81" s="14" t="s">
        <v>1198</v>
      </c>
      <c r="P81" s="14" t="s">
        <v>1241</v>
      </c>
      <c r="S81" s="14" t="s">
        <v>1198</v>
      </c>
      <c r="W81" t="b">
        <v>1</v>
      </c>
      <c r="X81">
        <v>0</v>
      </c>
      <c r="Y81" s="14" t="s">
        <v>1772</v>
      </c>
      <c r="AG81" t="s">
        <v>1251</v>
      </c>
      <c r="AI81" t="s">
        <v>61</v>
      </c>
    </row>
    <row r="82" spans="2:35" x14ac:dyDescent="0.3">
      <c r="B82" t="s">
        <v>235</v>
      </c>
      <c r="C82" t="s">
        <v>1252</v>
      </c>
      <c r="D82" t="s">
        <v>1253</v>
      </c>
      <c r="F82" t="s">
        <v>24</v>
      </c>
      <c r="G82" t="s">
        <v>1254</v>
      </c>
      <c r="M82" t="s">
        <v>184</v>
      </c>
      <c r="N82" t="s">
        <v>9</v>
      </c>
      <c r="O82" s="14">
        <v>0</v>
      </c>
      <c r="P82" s="14">
        <v>1</v>
      </c>
      <c r="S82" s="14">
        <v>0</v>
      </c>
      <c r="W82" t="b">
        <v>1</v>
      </c>
      <c r="X82">
        <v>0</v>
      </c>
      <c r="Y82" s="14">
        <v>-0.25</v>
      </c>
      <c r="AG82" t="s">
        <v>1255</v>
      </c>
      <c r="AI82" t="s">
        <v>61</v>
      </c>
    </row>
    <row r="83" spans="2:35" x14ac:dyDescent="0.3">
      <c r="B83" t="s">
        <v>235</v>
      </c>
      <c r="C83" t="s">
        <v>1256</v>
      </c>
      <c r="D83" t="s">
        <v>1257</v>
      </c>
      <c r="F83" t="s">
        <v>25</v>
      </c>
      <c r="G83" t="s">
        <v>1258</v>
      </c>
      <c r="M83" t="s">
        <v>184</v>
      </c>
      <c r="N83" t="s">
        <v>9</v>
      </c>
      <c r="O83" s="14">
        <v>0</v>
      </c>
      <c r="P83" s="14">
        <v>1</v>
      </c>
      <c r="S83" s="14">
        <v>0</v>
      </c>
      <c r="W83" t="b">
        <v>1</v>
      </c>
      <c r="X83">
        <v>0</v>
      </c>
      <c r="Y83" s="14">
        <v>-0.25</v>
      </c>
      <c r="AG83" t="s">
        <v>1259</v>
      </c>
      <c r="AI83" t="s">
        <v>61</v>
      </c>
    </row>
    <row r="84" spans="2:35" x14ac:dyDescent="0.3">
      <c r="B84" t="s">
        <v>235</v>
      </c>
      <c r="C84" t="s">
        <v>1260</v>
      </c>
      <c r="D84" t="s">
        <v>1261</v>
      </c>
      <c r="F84" t="s">
        <v>26</v>
      </c>
      <c r="G84" t="s">
        <v>1262</v>
      </c>
      <c r="M84" t="s">
        <v>184</v>
      </c>
      <c r="N84" t="s">
        <v>9</v>
      </c>
      <c r="O84" s="14">
        <v>0</v>
      </c>
      <c r="P84" s="14">
        <v>1</v>
      </c>
      <c r="S84" s="14">
        <v>0</v>
      </c>
      <c r="W84" t="b">
        <v>1</v>
      </c>
      <c r="X84">
        <v>0</v>
      </c>
      <c r="Y84" s="14">
        <v>-0.25</v>
      </c>
      <c r="AG84" t="s">
        <v>1255</v>
      </c>
      <c r="AI84" t="s">
        <v>61</v>
      </c>
    </row>
    <row r="85" spans="2:35" x14ac:dyDescent="0.3">
      <c r="B85" t="s">
        <v>235</v>
      </c>
      <c r="C85" t="s">
        <v>1263</v>
      </c>
      <c r="D85" t="s">
        <v>1264</v>
      </c>
      <c r="F85" t="s">
        <v>27</v>
      </c>
      <c r="G85" t="s">
        <v>1265</v>
      </c>
      <c r="M85" t="s">
        <v>184</v>
      </c>
      <c r="N85" t="s">
        <v>9</v>
      </c>
      <c r="O85" s="14">
        <v>0</v>
      </c>
      <c r="P85" s="14">
        <v>1</v>
      </c>
      <c r="S85" s="14">
        <v>0</v>
      </c>
      <c r="W85" t="b">
        <v>1</v>
      </c>
      <c r="X85">
        <v>0</v>
      </c>
      <c r="Y85" s="14">
        <v>-0.25</v>
      </c>
      <c r="AG85" t="s">
        <v>1259</v>
      </c>
      <c r="AI85" t="s">
        <v>61</v>
      </c>
    </row>
    <row r="86" spans="2:35" x14ac:dyDescent="0.3">
      <c r="B86" t="s">
        <v>411</v>
      </c>
      <c r="C86" t="s">
        <v>1266</v>
      </c>
      <c r="D86" t="s">
        <v>1267</v>
      </c>
      <c r="E86">
        <v>8</v>
      </c>
      <c r="AI86" t="s">
        <v>61</v>
      </c>
    </row>
    <row r="87" spans="2:35" x14ac:dyDescent="0.3">
      <c r="B87" t="s">
        <v>235</v>
      </c>
      <c r="C87" t="s">
        <v>1268</v>
      </c>
      <c r="D87" t="s">
        <v>1269</v>
      </c>
      <c r="F87" t="s">
        <v>10</v>
      </c>
      <c r="G87" t="s">
        <v>1270</v>
      </c>
      <c r="M87" t="s">
        <v>184</v>
      </c>
      <c r="N87" t="s">
        <v>9</v>
      </c>
      <c r="O87" t="s">
        <v>1198</v>
      </c>
      <c r="P87" t="s">
        <v>1199</v>
      </c>
      <c r="S87" t="s">
        <v>1198</v>
      </c>
      <c r="W87" t="b">
        <v>1</v>
      </c>
      <c r="X87">
        <v>0</v>
      </c>
      <c r="Y87" t="s">
        <v>1773</v>
      </c>
      <c r="AG87" t="s">
        <v>1200</v>
      </c>
      <c r="AI87" t="s">
        <v>61</v>
      </c>
    </row>
    <row r="88" spans="2:35" x14ac:dyDescent="0.3">
      <c r="B88" t="s">
        <v>235</v>
      </c>
      <c r="C88" t="s">
        <v>1271</v>
      </c>
      <c r="D88" t="s">
        <v>1269</v>
      </c>
      <c r="F88" t="s">
        <v>11</v>
      </c>
      <c r="G88" t="s">
        <v>1272</v>
      </c>
      <c r="M88" t="s">
        <v>184</v>
      </c>
      <c r="N88" t="s">
        <v>9</v>
      </c>
      <c r="O88" t="s">
        <v>1198</v>
      </c>
      <c r="P88" t="s">
        <v>1199</v>
      </c>
      <c r="S88" t="s">
        <v>1198</v>
      </c>
      <c r="W88" t="b">
        <v>1</v>
      </c>
      <c r="X88">
        <v>0</v>
      </c>
      <c r="Y88" t="s">
        <v>1774</v>
      </c>
      <c r="AG88" t="s">
        <v>1203</v>
      </c>
      <c r="AI88" t="s">
        <v>61</v>
      </c>
    </row>
    <row r="89" spans="2:35" x14ac:dyDescent="0.3">
      <c r="B89" t="s">
        <v>235</v>
      </c>
      <c r="C89" t="s">
        <v>1273</v>
      </c>
      <c r="D89" t="s">
        <v>1274</v>
      </c>
      <c r="F89" t="s">
        <v>12</v>
      </c>
      <c r="G89" t="s">
        <v>1275</v>
      </c>
      <c r="M89" t="s">
        <v>184</v>
      </c>
      <c r="N89" t="s">
        <v>9</v>
      </c>
      <c r="O89" t="s">
        <v>1198</v>
      </c>
      <c r="P89" t="s">
        <v>1207</v>
      </c>
      <c r="S89" t="s">
        <v>1198</v>
      </c>
      <c r="W89" t="b">
        <v>1</v>
      </c>
      <c r="X89">
        <v>0</v>
      </c>
      <c r="Y89" t="s">
        <v>1775</v>
      </c>
      <c r="AG89" t="s">
        <v>1208</v>
      </c>
      <c r="AI89" t="s">
        <v>61</v>
      </c>
    </row>
    <row r="90" spans="2:35" x14ac:dyDescent="0.3">
      <c r="B90" t="s">
        <v>235</v>
      </c>
      <c r="C90" t="s">
        <v>1276</v>
      </c>
      <c r="D90" t="s">
        <v>1277</v>
      </c>
      <c r="F90" t="s">
        <v>14</v>
      </c>
      <c r="G90" t="s">
        <v>1278</v>
      </c>
      <c r="M90" t="s">
        <v>184</v>
      </c>
      <c r="N90" t="s">
        <v>9</v>
      </c>
      <c r="O90" t="s">
        <v>1198</v>
      </c>
      <c r="P90" t="s">
        <v>1212</v>
      </c>
      <c r="S90" t="s">
        <v>1198</v>
      </c>
      <c r="W90" t="b">
        <v>1</v>
      </c>
      <c r="X90">
        <v>0</v>
      </c>
      <c r="Y90" t="s">
        <v>1776</v>
      </c>
      <c r="AG90" t="s">
        <v>1213</v>
      </c>
      <c r="AI90" t="s">
        <v>61</v>
      </c>
    </row>
    <row r="91" spans="2:35" x14ac:dyDescent="0.3">
      <c r="B91" t="s">
        <v>235</v>
      </c>
      <c r="C91" t="s">
        <v>1279</v>
      </c>
      <c r="D91" t="s">
        <v>1280</v>
      </c>
      <c r="F91" t="s">
        <v>15</v>
      </c>
      <c r="G91" t="s">
        <v>1281</v>
      </c>
      <c r="M91" t="s">
        <v>184</v>
      </c>
      <c r="N91" t="s">
        <v>9</v>
      </c>
      <c r="O91" t="s">
        <v>1198</v>
      </c>
      <c r="P91" t="s">
        <v>1217</v>
      </c>
      <c r="S91" t="s">
        <v>1198</v>
      </c>
      <c r="W91" t="b">
        <v>1</v>
      </c>
      <c r="X91">
        <v>0</v>
      </c>
      <c r="Y91" t="s">
        <v>1777</v>
      </c>
      <c r="AG91" t="s">
        <v>1218</v>
      </c>
      <c r="AI91" t="s">
        <v>61</v>
      </c>
    </row>
    <row r="92" spans="2:35" x14ac:dyDescent="0.3">
      <c r="B92" t="s">
        <v>235</v>
      </c>
      <c r="C92" t="s">
        <v>1282</v>
      </c>
      <c r="D92" t="s">
        <v>1283</v>
      </c>
      <c r="F92" t="s">
        <v>16</v>
      </c>
      <c r="G92" t="s">
        <v>1284</v>
      </c>
      <c r="M92" t="s">
        <v>184</v>
      </c>
      <c r="N92" t="s">
        <v>9</v>
      </c>
      <c r="O92" t="s">
        <v>1198</v>
      </c>
      <c r="P92" t="s">
        <v>1222</v>
      </c>
      <c r="S92" t="s">
        <v>1198</v>
      </c>
      <c r="W92" t="b">
        <v>1</v>
      </c>
      <c r="X92">
        <v>0</v>
      </c>
      <c r="Y92" t="s">
        <v>1778</v>
      </c>
      <c r="AG92" t="s">
        <v>1223</v>
      </c>
      <c r="AI92" t="s">
        <v>61</v>
      </c>
    </row>
    <row r="93" spans="2:35" x14ac:dyDescent="0.3">
      <c r="B93" t="s">
        <v>235</v>
      </c>
      <c r="C93" t="s">
        <v>1285</v>
      </c>
      <c r="D93" t="s">
        <v>1286</v>
      </c>
      <c r="F93" t="s">
        <v>18</v>
      </c>
      <c r="G93" t="s">
        <v>1287</v>
      </c>
      <c r="M93" t="s">
        <v>184</v>
      </c>
      <c r="N93" t="s">
        <v>9</v>
      </c>
      <c r="O93" t="s">
        <v>1198</v>
      </c>
      <c r="P93" t="s">
        <v>1217</v>
      </c>
      <c r="S93" t="s">
        <v>1198</v>
      </c>
      <c r="W93" t="b">
        <v>1</v>
      </c>
      <c r="X93">
        <v>0</v>
      </c>
      <c r="Y93" t="s">
        <v>1779</v>
      </c>
      <c r="AG93" t="s">
        <v>1232</v>
      </c>
      <c r="AI93" t="s">
        <v>61</v>
      </c>
    </row>
    <row r="94" spans="2:35" x14ac:dyDescent="0.3">
      <c r="B94" t="s">
        <v>235</v>
      </c>
      <c r="C94" t="s">
        <v>1288</v>
      </c>
      <c r="D94" t="s">
        <v>1289</v>
      </c>
      <c r="F94" t="s">
        <v>19</v>
      </c>
      <c r="G94" t="s">
        <v>1290</v>
      </c>
      <c r="M94" t="s">
        <v>184</v>
      </c>
      <c r="N94" t="s">
        <v>9</v>
      </c>
      <c r="O94" t="s">
        <v>1198</v>
      </c>
      <c r="P94" t="s">
        <v>1246</v>
      </c>
      <c r="S94" t="s">
        <v>1198</v>
      </c>
      <c r="W94" t="b">
        <v>1</v>
      </c>
      <c r="X94">
        <v>0</v>
      </c>
      <c r="Y94" t="s">
        <v>1780</v>
      </c>
      <c r="AG94" t="s">
        <v>1228</v>
      </c>
      <c r="AI94" t="s">
        <v>61</v>
      </c>
    </row>
    <row r="95" spans="2:35" x14ac:dyDescent="0.3">
      <c r="B95" t="s">
        <v>235</v>
      </c>
      <c r="C95" t="s">
        <v>1291</v>
      </c>
      <c r="D95" t="s">
        <v>1292</v>
      </c>
      <c r="F95" t="s">
        <v>20</v>
      </c>
      <c r="G95" t="s">
        <v>1293</v>
      </c>
      <c r="M95" t="s">
        <v>184</v>
      </c>
      <c r="N95" t="s">
        <v>9</v>
      </c>
      <c r="O95" t="s">
        <v>1198</v>
      </c>
      <c r="P95" t="s">
        <v>1212</v>
      </c>
      <c r="S95" t="s">
        <v>1198</v>
      </c>
      <c r="W95" t="b">
        <v>1</v>
      </c>
      <c r="X95">
        <v>0</v>
      </c>
      <c r="Y95" t="s">
        <v>1781</v>
      </c>
      <c r="AG95" t="s">
        <v>1294</v>
      </c>
      <c r="AI95" t="s">
        <v>61</v>
      </c>
    </row>
    <row r="96" spans="2:35" x14ac:dyDescent="0.3">
      <c r="B96" t="s">
        <v>235</v>
      </c>
      <c r="C96" t="s">
        <v>1295</v>
      </c>
      <c r="D96" t="s">
        <v>1296</v>
      </c>
      <c r="F96" t="s">
        <v>21</v>
      </c>
      <c r="G96" t="s">
        <v>1297</v>
      </c>
      <c r="M96" t="s">
        <v>184</v>
      </c>
      <c r="N96" t="s">
        <v>9</v>
      </c>
      <c r="O96" t="s">
        <v>1198</v>
      </c>
      <c r="P96" t="s">
        <v>1241</v>
      </c>
      <c r="S96" t="s">
        <v>1198</v>
      </c>
      <c r="W96" t="b">
        <v>1</v>
      </c>
      <c r="X96">
        <v>0</v>
      </c>
      <c r="Y96" t="s">
        <v>1782</v>
      </c>
      <c r="AG96" t="s">
        <v>1242</v>
      </c>
      <c r="AI96" t="s">
        <v>61</v>
      </c>
    </row>
    <row r="97" spans="2:35" x14ac:dyDescent="0.3">
      <c r="B97" t="s">
        <v>235</v>
      </c>
      <c r="C97" t="s">
        <v>1298</v>
      </c>
      <c r="D97" t="s">
        <v>1299</v>
      </c>
      <c r="F97" t="s">
        <v>22</v>
      </c>
      <c r="G97" t="s">
        <v>1300</v>
      </c>
      <c r="M97" t="s">
        <v>184</v>
      </c>
      <c r="N97" t="s">
        <v>9</v>
      </c>
      <c r="O97" s="14" t="s">
        <v>1198</v>
      </c>
      <c r="P97" s="14" t="s">
        <v>1241</v>
      </c>
      <c r="S97" t="s">
        <v>1198</v>
      </c>
      <c r="W97" t="b">
        <v>1</v>
      </c>
      <c r="X97">
        <v>0</v>
      </c>
      <c r="Y97" s="14" t="s">
        <v>1783</v>
      </c>
      <c r="Z97" s="14"/>
      <c r="AA97" s="14"/>
      <c r="AG97" t="s">
        <v>1301</v>
      </c>
      <c r="AI97" t="s">
        <v>61</v>
      </c>
    </row>
    <row r="98" spans="2:35" x14ac:dyDescent="0.3">
      <c r="B98" t="s">
        <v>235</v>
      </c>
      <c r="C98" t="s">
        <v>1302</v>
      </c>
      <c r="D98" t="s">
        <v>1303</v>
      </c>
      <c r="F98" t="s">
        <v>23</v>
      </c>
      <c r="G98" t="s">
        <v>1304</v>
      </c>
      <c r="M98" t="s">
        <v>184</v>
      </c>
      <c r="N98" t="s">
        <v>9</v>
      </c>
      <c r="O98" s="14" t="s">
        <v>1198</v>
      </c>
      <c r="P98" s="14" t="s">
        <v>1305</v>
      </c>
      <c r="S98" t="s">
        <v>1198</v>
      </c>
      <c r="W98" t="b">
        <v>1</v>
      </c>
      <c r="X98">
        <v>0</v>
      </c>
      <c r="Y98" s="14" t="s">
        <v>1784</v>
      </c>
      <c r="Z98" s="14"/>
      <c r="AA98" s="14"/>
      <c r="AG98" t="s">
        <v>1247</v>
      </c>
      <c r="AI98" t="s">
        <v>61</v>
      </c>
    </row>
    <row r="99" spans="2:35" x14ac:dyDescent="0.3">
      <c r="B99" t="s">
        <v>235</v>
      </c>
      <c r="C99" t="s">
        <v>1306</v>
      </c>
      <c r="D99" t="s">
        <v>1307</v>
      </c>
      <c r="F99" t="s">
        <v>24</v>
      </c>
      <c r="G99" t="s">
        <v>1308</v>
      </c>
      <c r="M99" t="s">
        <v>184</v>
      </c>
      <c r="N99" t="s">
        <v>9</v>
      </c>
      <c r="O99" s="14" t="s">
        <v>1198</v>
      </c>
      <c r="P99" s="14" t="s">
        <v>1217</v>
      </c>
      <c r="S99" t="s">
        <v>1198</v>
      </c>
      <c r="W99" t="b">
        <v>1</v>
      </c>
      <c r="X99">
        <v>0</v>
      </c>
      <c r="Y99" s="14" t="s">
        <v>1785</v>
      </c>
      <c r="Z99" s="14"/>
      <c r="AA99" s="14"/>
      <c r="AG99" t="s">
        <v>1251</v>
      </c>
      <c r="AI99" t="s">
        <v>61</v>
      </c>
    </row>
    <row r="100" spans="2:35" x14ac:dyDescent="0.3">
      <c r="B100" t="s">
        <v>235</v>
      </c>
      <c r="C100" t="s">
        <v>1309</v>
      </c>
      <c r="D100" t="s">
        <v>1310</v>
      </c>
      <c r="F100" t="s">
        <v>25</v>
      </c>
      <c r="G100" t="s">
        <v>1198</v>
      </c>
      <c r="M100" t="s">
        <v>184</v>
      </c>
      <c r="N100" t="s">
        <v>9</v>
      </c>
      <c r="O100" s="14">
        <v>0</v>
      </c>
      <c r="P100" s="14">
        <v>1</v>
      </c>
      <c r="S100" s="14">
        <v>0</v>
      </c>
      <c r="W100" t="b">
        <v>0</v>
      </c>
      <c r="X100">
        <v>0</v>
      </c>
      <c r="Y100" s="14">
        <v>8.9999999999999998E-4</v>
      </c>
      <c r="Z100" s="14"/>
      <c r="AA100" s="14"/>
      <c r="AG100" t="s">
        <v>1198</v>
      </c>
      <c r="AH100" t="s">
        <v>1198</v>
      </c>
      <c r="AI100" t="s">
        <v>61</v>
      </c>
    </row>
    <row r="101" spans="2:35" x14ac:dyDescent="0.3">
      <c r="B101" t="s">
        <v>39</v>
      </c>
      <c r="C101" t="s">
        <v>1311</v>
      </c>
      <c r="F101" t="s">
        <v>26</v>
      </c>
      <c r="K101" t="b">
        <v>0</v>
      </c>
      <c r="O101" s="14"/>
      <c r="P101" s="14"/>
      <c r="V101" t="s">
        <v>5</v>
      </c>
      <c r="Y101" s="14" t="s">
        <v>6</v>
      </c>
      <c r="Z101" s="14"/>
      <c r="AA101" s="14"/>
    </row>
    <row r="102" spans="2:35" x14ac:dyDescent="0.3">
      <c r="B102" t="s">
        <v>39</v>
      </c>
      <c r="C102" t="s">
        <v>1312</v>
      </c>
      <c r="F102" t="s">
        <v>27</v>
      </c>
      <c r="K102" t="b">
        <v>0</v>
      </c>
      <c r="O102" s="14"/>
      <c r="P102" s="14"/>
      <c r="V102" t="s">
        <v>5</v>
      </c>
      <c r="Y102" s="14" t="s">
        <v>6</v>
      </c>
      <c r="Z102" s="14"/>
      <c r="AA102" s="14"/>
    </row>
    <row r="103" spans="2:35" x14ac:dyDescent="0.3">
      <c r="B103" t="s">
        <v>162</v>
      </c>
      <c r="C103" t="s">
        <v>1313</v>
      </c>
      <c r="D103" t="s">
        <v>162</v>
      </c>
      <c r="E103">
        <v>9</v>
      </c>
      <c r="O103" s="14"/>
      <c r="P103" s="14"/>
      <c r="Y103" s="14"/>
      <c r="Z103" s="14"/>
      <c r="AA103" s="14"/>
      <c r="AI103" t="s">
        <v>61</v>
      </c>
    </row>
    <row r="104" spans="2:35" x14ac:dyDescent="0.3">
      <c r="B104" t="s">
        <v>28</v>
      </c>
      <c r="C104" t="s">
        <v>1314</v>
      </c>
      <c r="D104" t="s">
        <v>1315</v>
      </c>
      <c r="F104" t="s">
        <v>29</v>
      </c>
      <c r="G104" t="s">
        <v>1316</v>
      </c>
      <c r="M104" t="s">
        <v>184</v>
      </c>
      <c r="N104" t="s">
        <v>9</v>
      </c>
      <c r="O104" s="14">
        <v>0</v>
      </c>
      <c r="P104" s="14">
        <v>1</v>
      </c>
      <c r="S104" s="14"/>
      <c r="X104">
        <v>0</v>
      </c>
      <c r="Y104" s="14">
        <v>0.1996</v>
      </c>
      <c r="Z104" s="14">
        <v>0.2</v>
      </c>
      <c r="AA104" s="14">
        <v>0</v>
      </c>
      <c r="AG104" t="s">
        <v>1317</v>
      </c>
      <c r="AI104" t="s">
        <v>61</v>
      </c>
    </row>
    <row r="105" spans="2:35" x14ac:dyDescent="0.3">
      <c r="B105" t="s">
        <v>28</v>
      </c>
      <c r="C105" t="s">
        <v>1318</v>
      </c>
      <c r="D105" t="s">
        <v>1315</v>
      </c>
      <c r="F105" t="s">
        <v>30</v>
      </c>
      <c r="G105" t="s">
        <v>1319</v>
      </c>
      <c r="M105" t="s">
        <v>184</v>
      </c>
      <c r="N105" t="s">
        <v>9</v>
      </c>
      <c r="O105" s="14">
        <v>0</v>
      </c>
      <c r="P105" s="14">
        <v>1</v>
      </c>
      <c r="X105">
        <v>0</v>
      </c>
      <c r="Y105" s="14">
        <v>0.1991</v>
      </c>
      <c r="Z105" s="14">
        <v>0.2</v>
      </c>
      <c r="AA105" s="14">
        <v>0</v>
      </c>
      <c r="AG105" t="s">
        <v>1320</v>
      </c>
      <c r="AI105" t="s">
        <v>61</v>
      </c>
    </row>
    <row r="106" spans="2:35" x14ac:dyDescent="0.3">
      <c r="B106" t="s">
        <v>28</v>
      </c>
      <c r="C106" t="s">
        <v>1321</v>
      </c>
      <c r="D106" t="s">
        <v>1315</v>
      </c>
      <c r="F106" t="s">
        <v>31</v>
      </c>
      <c r="G106" t="s">
        <v>1322</v>
      </c>
      <c r="M106" t="s">
        <v>184</v>
      </c>
      <c r="N106" t="s">
        <v>9</v>
      </c>
      <c r="O106" s="14">
        <v>0</v>
      </c>
      <c r="P106" s="14">
        <v>1</v>
      </c>
      <c r="X106">
        <v>0</v>
      </c>
      <c r="Y106" s="14">
        <v>0.20039999999999999</v>
      </c>
      <c r="Z106" s="14">
        <v>0.2</v>
      </c>
      <c r="AA106" s="14">
        <v>0</v>
      </c>
      <c r="AG106" t="s">
        <v>1323</v>
      </c>
      <c r="AI106" t="s">
        <v>61</v>
      </c>
    </row>
    <row r="107" spans="2:35" x14ac:dyDescent="0.3">
      <c r="B107" t="s">
        <v>28</v>
      </c>
      <c r="C107" t="s">
        <v>1324</v>
      </c>
      <c r="D107" t="s">
        <v>1315</v>
      </c>
      <c r="F107" t="s">
        <v>32</v>
      </c>
      <c r="G107" t="s">
        <v>1325</v>
      </c>
      <c r="M107" t="s">
        <v>184</v>
      </c>
      <c r="N107" t="s">
        <v>9</v>
      </c>
      <c r="O107" s="14">
        <v>0</v>
      </c>
      <c r="P107" s="14">
        <v>1</v>
      </c>
      <c r="X107">
        <v>0</v>
      </c>
      <c r="Y107" s="14">
        <v>0.20030000000000001</v>
      </c>
      <c r="Z107" s="14">
        <v>0.2</v>
      </c>
      <c r="AA107" s="14">
        <v>0</v>
      </c>
      <c r="AG107" t="s">
        <v>1326</v>
      </c>
      <c r="AI107" t="s">
        <v>61</v>
      </c>
    </row>
    <row r="108" spans="2:35" x14ac:dyDescent="0.3">
      <c r="B108" t="s">
        <v>28</v>
      </c>
      <c r="C108" t="s">
        <v>1327</v>
      </c>
      <c r="D108" t="s">
        <v>1328</v>
      </c>
      <c r="F108" t="s">
        <v>33</v>
      </c>
      <c r="G108" t="s">
        <v>1329</v>
      </c>
      <c r="M108" t="s">
        <v>184</v>
      </c>
      <c r="N108" t="s">
        <v>9</v>
      </c>
      <c r="O108" s="14" t="s">
        <v>1330</v>
      </c>
      <c r="P108" s="14" t="s">
        <v>1331</v>
      </c>
      <c r="X108">
        <v>0</v>
      </c>
      <c r="Y108" s="14" t="s">
        <v>1331</v>
      </c>
      <c r="Z108" s="14" t="s">
        <v>1331</v>
      </c>
      <c r="AA108" s="14" t="s">
        <v>1198</v>
      </c>
      <c r="AG108" t="s">
        <v>1208</v>
      </c>
      <c r="AI108" t="s">
        <v>61</v>
      </c>
    </row>
    <row r="109" spans="2:35" x14ac:dyDescent="0.3">
      <c r="B109" t="s">
        <v>28</v>
      </c>
      <c r="C109" t="s">
        <v>1332</v>
      </c>
      <c r="D109" t="s">
        <v>1333</v>
      </c>
      <c r="F109" t="s">
        <v>35</v>
      </c>
      <c r="G109" t="s">
        <v>1334</v>
      </c>
      <c r="M109" t="s">
        <v>184</v>
      </c>
      <c r="N109" t="s">
        <v>9</v>
      </c>
      <c r="O109" s="14" t="s">
        <v>1330</v>
      </c>
      <c r="P109" s="14" t="s">
        <v>1331</v>
      </c>
      <c r="X109">
        <v>0</v>
      </c>
      <c r="Y109" s="14" t="s">
        <v>1786</v>
      </c>
      <c r="Z109" s="14" t="s">
        <v>1331</v>
      </c>
      <c r="AA109" s="14" t="s">
        <v>1198</v>
      </c>
      <c r="AG109" t="s">
        <v>1208</v>
      </c>
      <c r="AI109" t="s">
        <v>61</v>
      </c>
    </row>
    <row r="110" spans="2:35" x14ac:dyDescent="0.3">
      <c r="B110" t="s">
        <v>28</v>
      </c>
      <c r="C110" t="s">
        <v>1335</v>
      </c>
      <c r="D110" t="s">
        <v>1336</v>
      </c>
      <c r="F110" t="s">
        <v>36</v>
      </c>
      <c r="G110" t="s">
        <v>1337</v>
      </c>
      <c r="M110" t="s">
        <v>184</v>
      </c>
      <c r="N110" t="s">
        <v>9</v>
      </c>
      <c r="O110" s="14">
        <v>0</v>
      </c>
      <c r="P110" s="14">
        <v>1</v>
      </c>
      <c r="X110">
        <v>0</v>
      </c>
      <c r="Y110" s="14">
        <v>1.2999999999999999E-3</v>
      </c>
      <c r="Z110" s="14">
        <v>0</v>
      </c>
      <c r="AA110" s="14">
        <v>0</v>
      </c>
      <c r="AG110" t="s">
        <v>1164</v>
      </c>
      <c r="AI110" t="s">
        <v>61</v>
      </c>
    </row>
    <row r="111" spans="2:35" x14ac:dyDescent="0.3">
      <c r="B111" t="s">
        <v>28</v>
      </c>
      <c r="C111" t="s">
        <v>1338</v>
      </c>
      <c r="D111" t="s">
        <v>1339</v>
      </c>
      <c r="F111" t="s">
        <v>37</v>
      </c>
      <c r="G111" t="s">
        <v>1340</v>
      </c>
      <c r="M111" t="s">
        <v>184</v>
      </c>
      <c r="N111" t="s">
        <v>9</v>
      </c>
      <c r="O111" s="14">
        <v>0</v>
      </c>
      <c r="P111" s="14">
        <v>1</v>
      </c>
      <c r="X111">
        <v>0</v>
      </c>
      <c r="Y111" s="14">
        <v>8.9999999999999998E-4</v>
      </c>
      <c r="Z111" s="14">
        <v>0</v>
      </c>
      <c r="AA111" s="14">
        <v>0</v>
      </c>
      <c r="AG111" t="s">
        <v>1341</v>
      </c>
      <c r="AI111" t="s">
        <v>61</v>
      </c>
    </row>
    <row r="112" spans="2:35" x14ac:dyDescent="0.3">
      <c r="B112" t="s">
        <v>162</v>
      </c>
      <c r="C112" t="s">
        <v>1342</v>
      </c>
      <c r="D112" t="s">
        <v>162</v>
      </c>
      <c r="E112">
        <v>10</v>
      </c>
      <c r="O112" s="14"/>
      <c r="P112" s="14"/>
      <c r="Y112" s="14"/>
      <c r="Z112" s="14"/>
      <c r="AA112" s="14"/>
      <c r="AI112" t="s">
        <v>61</v>
      </c>
    </row>
    <row r="113" spans="2:35" x14ac:dyDescent="0.3">
      <c r="B113" t="s">
        <v>28</v>
      </c>
      <c r="C113" t="s">
        <v>1343</v>
      </c>
      <c r="D113" t="s">
        <v>1336</v>
      </c>
      <c r="F113" t="s">
        <v>29</v>
      </c>
      <c r="G113" t="s">
        <v>1344</v>
      </c>
      <c r="M113" t="s">
        <v>184</v>
      </c>
      <c r="N113" t="s">
        <v>9</v>
      </c>
      <c r="O113" s="14">
        <v>0</v>
      </c>
      <c r="P113" s="14">
        <v>1</v>
      </c>
      <c r="X113">
        <v>0</v>
      </c>
      <c r="Y113" s="14">
        <v>1.2999999999999999E-3</v>
      </c>
      <c r="Z113" s="14">
        <v>0</v>
      </c>
      <c r="AA113" s="14">
        <v>0</v>
      </c>
      <c r="AG113" t="s">
        <v>1167</v>
      </c>
      <c r="AI113" t="s">
        <v>61</v>
      </c>
    </row>
    <row r="114" spans="2:35" x14ac:dyDescent="0.3">
      <c r="B114" t="s">
        <v>28</v>
      </c>
      <c r="C114" t="s">
        <v>1345</v>
      </c>
      <c r="D114" t="s">
        <v>1336</v>
      </c>
      <c r="F114" t="s">
        <v>30</v>
      </c>
      <c r="G114" t="s">
        <v>1346</v>
      </c>
      <c r="M114" t="s">
        <v>184</v>
      </c>
      <c r="N114" t="s">
        <v>9</v>
      </c>
      <c r="O114" s="14">
        <v>0</v>
      </c>
      <c r="P114" s="14">
        <v>1</v>
      </c>
      <c r="X114">
        <v>0</v>
      </c>
      <c r="Y114" s="14">
        <v>1.1000000000000001E-3</v>
      </c>
      <c r="Z114" s="14">
        <v>0</v>
      </c>
      <c r="AA114" s="14">
        <v>0</v>
      </c>
      <c r="AG114" t="s">
        <v>1170</v>
      </c>
      <c r="AI114" t="s">
        <v>61</v>
      </c>
    </row>
    <row r="115" spans="2:35" x14ac:dyDescent="0.3">
      <c r="B115" t="s">
        <v>28</v>
      </c>
      <c r="C115" t="s">
        <v>1347</v>
      </c>
      <c r="D115" t="s">
        <v>1336</v>
      </c>
      <c r="F115" t="s">
        <v>31</v>
      </c>
      <c r="G115" t="s">
        <v>1348</v>
      </c>
      <c r="M115" t="s">
        <v>184</v>
      </c>
      <c r="N115" t="s">
        <v>9</v>
      </c>
      <c r="O115" s="14">
        <v>0</v>
      </c>
      <c r="P115" s="14">
        <v>1</v>
      </c>
      <c r="X115">
        <v>0</v>
      </c>
      <c r="Y115" s="14">
        <v>1.1000000000000001E-3</v>
      </c>
      <c r="Z115" s="14">
        <v>0</v>
      </c>
      <c r="AA115" s="14">
        <v>0</v>
      </c>
      <c r="AG115" t="s">
        <v>1173</v>
      </c>
      <c r="AI115" t="s">
        <v>61</v>
      </c>
    </row>
    <row r="116" spans="2:35" x14ac:dyDescent="0.3">
      <c r="B116" t="s">
        <v>28</v>
      </c>
      <c r="C116" t="s">
        <v>1349</v>
      </c>
      <c r="D116" t="s">
        <v>1350</v>
      </c>
      <c r="F116" t="s">
        <v>32</v>
      </c>
      <c r="G116" t="s">
        <v>1351</v>
      </c>
      <c r="M116" t="s">
        <v>184</v>
      </c>
      <c r="N116" t="s">
        <v>9</v>
      </c>
      <c r="O116" s="14" t="s">
        <v>1352</v>
      </c>
      <c r="P116" s="14" t="s">
        <v>1353</v>
      </c>
      <c r="X116">
        <v>0</v>
      </c>
      <c r="Y116" s="14" t="s">
        <v>1353</v>
      </c>
      <c r="Z116" s="14" t="s">
        <v>1353</v>
      </c>
      <c r="AA116" s="14" t="s">
        <v>1198</v>
      </c>
      <c r="AG116" t="s">
        <v>1200</v>
      </c>
      <c r="AI116" t="s">
        <v>61</v>
      </c>
    </row>
    <row r="117" spans="2:35" x14ac:dyDescent="0.3">
      <c r="B117" t="s">
        <v>28</v>
      </c>
      <c r="C117" t="s">
        <v>1355</v>
      </c>
      <c r="D117" t="s">
        <v>1356</v>
      </c>
      <c r="F117" t="s">
        <v>33</v>
      </c>
      <c r="G117" t="s">
        <v>1357</v>
      </c>
      <c r="M117" t="s">
        <v>184</v>
      </c>
      <c r="N117" t="s">
        <v>9</v>
      </c>
      <c r="O117" s="14" t="s">
        <v>1352</v>
      </c>
      <c r="P117" s="14" t="s">
        <v>1358</v>
      </c>
      <c r="X117">
        <v>0</v>
      </c>
      <c r="Y117" s="14" t="s">
        <v>1358</v>
      </c>
      <c r="Z117" s="14" t="s">
        <v>1353</v>
      </c>
      <c r="AA117" s="14" t="s">
        <v>1198</v>
      </c>
      <c r="AG117" t="s">
        <v>1203</v>
      </c>
      <c r="AI117" t="s">
        <v>61</v>
      </c>
    </row>
    <row r="118" spans="2:35" x14ac:dyDescent="0.3">
      <c r="B118" t="s">
        <v>28</v>
      </c>
      <c r="C118" t="s">
        <v>1359</v>
      </c>
      <c r="D118" t="s">
        <v>1350</v>
      </c>
      <c r="F118" t="s">
        <v>35</v>
      </c>
      <c r="G118" t="s">
        <v>1360</v>
      </c>
      <c r="M118" t="s">
        <v>184</v>
      </c>
      <c r="N118" t="s">
        <v>9</v>
      </c>
      <c r="O118" s="14" t="s">
        <v>1352</v>
      </c>
      <c r="P118" s="14" t="s">
        <v>1353</v>
      </c>
      <c r="X118">
        <v>0</v>
      </c>
      <c r="Y118" s="14" t="s">
        <v>1787</v>
      </c>
      <c r="Z118" s="14" t="s">
        <v>1353</v>
      </c>
      <c r="AA118" s="14" t="s">
        <v>1198</v>
      </c>
      <c r="AG118" t="s">
        <v>1200</v>
      </c>
      <c r="AI118" t="s">
        <v>61</v>
      </c>
    </row>
    <row r="119" spans="2:35" x14ac:dyDescent="0.3">
      <c r="B119" t="s">
        <v>28</v>
      </c>
      <c r="C119" t="s">
        <v>1361</v>
      </c>
      <c r="D119" t="s">
        <v>1356</v>
      </c>
      <c r="F119" t="s">
        <v>36</v>
      </c>
      <c r="G119" t="s">
        <v>1362</v>
      </c>
      <c r="M119" t="s">
        <v>184</v>
      </c>
      <c r="N119" t="s">
        <v>9</v>
      </c>
      <c r="O119" s="14" t="s">
        <v>1352</v>
      </c>
      <c r="P119" s="14" t="s">
        <v>1353</v>
      </c>
      <c r="X119">
        <v>0</v>
      </c>
      <c r="Y119" s="14" t="s">
        <v>1788</v>
      </c>
      <c r="Z119" s="14" t="s">
        <v>1353</v>
      </c>
      <c r="AA119" s="14" t="s">
        <v>1198</v>
      </c>
      <c r="AG119" t="s">
        <v>1203</v>
      </c>
      <c r="AI119" t="s">
        <v>61</v>
      </c>
    </row>
    <row r="120" spans="2:35" x14ac:dyDescent="0.3">
      <c r="B120" t="s">
        <v>28</v>
      </c>
      <c r="C120" t="s">
        <v>1363</v>
      </c>
      <c r="D120" t="s">
        <v>1364</v>
      </c>
      <c r="F120" t="s">
        <v>37</v>
      </c>
      <c r="M120" t="s">
        <v>8</v>
      </c>
      <c r="N120" t="s">
        <v>8</v>
      </c>
      <c r="O120" s="14" t="s">
        <v>8</v>
      </c>
      <c r="P120" s="14" t="s">
        <v>8</v>
      </c>
      <c r="X120">
        <v>0</v>
      </c>
      <c r="Y120" s="14" t="s">
        <v>8</v>
      </c>
      <c r="Z120" s="14" t="s">
        <v>8</v>
      </c>
      <c r="AA120" s="14" t="s">
        <v>8</v>
      </c>
      <c r="AI120" t="s">
        <v>61</v>
      </c>
    </row>
    <row r="121" spans="2:35" x14ac:dyDescent="0.3">
      <c r="B121" t="s">
        <v>162</v>
      </c>
      <c r="C121" t="s">
        <v>1365</v>
      </c>
      <c r="D121" t="s">
        <v>162</v>
      </c>
      <c r="E121">
        <v>11</v>
      </c>
      <c r="O121" s="14"/>
      <c r="P121" s="14"/>
      <c r="Y121" s="14"/>
      <c r="Z121" s="14"/>
      <c r="AA121" s="14"/>
      <c r="AI121" t="s">
        <v>61</v>
      </c>
    </row>
    <row r="122" spans="2:35" x14ac:dyDescent="0.3">
      <c r="B122" t="s">
        <v>28</v>
      </c>
      <c r="C122" t="s">
        <v>1366</v>
      </c>
      <c r="D122" t="s">
        <v>1367</v>
      </c>
      <c r="F122" t="s">
        <v>29</v>
      </c>
      <c r="G122" t="s">
        <v>1368</v>
      </c>
      <c r="M122" t="s">
        <v>184</v>
      </c>
      <c r="N122" t="s">
        <v>9</v>
      </c>
      <c r="O122" s="14">
        <v>0</v>
      </c>
      <c r="P122" s="14">
        <v>1</v>
      </c>
      <c r="X122">
        <v>0</v>
      </c>
      <c r="Y122" s="14">
        <v>0.59740000000000004</v>
      </c>
      <c r="Z122" s="14">
        <v>0.6</v>
      </c>
      <c r="AA122" s="14">
        <v>0</v>
      </c>
      <c r="AG122" t="s">
        <v>1369</v>
      </c>
      <c r="AI122" t="s">
        <v>61</v>
      </c>
    </row>
    <row r="123" spans="2:35" x14ac:dyDescent="0.3">
      <c r="B123" t="s">
        <v>28</v>
      </c>
      <c r="C123" t="s">
        <v>1370</v>
      </c>
      <c r="D123" t="s">
        <v>1371</v>
      </c>
      <c r="F123" t="s">
        <v>30</v>
      </c>
      <c r="G123" t="s">
        <v>1372</v>
      </c>
      <c r="M123" t="s">
        <v>184</v>
      </c>
      <c r="N123" t="s">
        <v>9</v>
      </c>
      <c r="O123" s="14">
        <v>0</v>
      </c>
      <c r="P123" s="14">
        <v>1</v>
      </c>
      <c r="X123">
        <v>0</v>
      </c>
      <c r="Y123" s="14">
        <v>1.2999999999999999E-3</v>
      </c>
      <c r="Z123" s="14">
        <v>0</v>
      </c>
      <c r="AA123" s="14">
        <v>0</v>
      </c>
      <c r="AG123" t="s">
        <v>1373</v>
      </c>
      <c r="AI123" t="s">
        <v>61</v>
      </c>
    </row>
    <row r="124" spans="2:35" x14ac:dyDescent="0.3">
      <c r="B124" t="s">
        <v>28</v>
      </c>
      <c r="C124" t="s">
        <v>1374</v>
      </c>
      <c r="D124" t="s">
        <v>1371</v>
      </c>
      <c r="F124" t="s">
        <v>31</v>
      </c>
      <c r="G124" t="s">
        <v>1375</v>
      </c>
      <c r="M124" t="s">
        <v>184</v>
      </c>
      <c r="N124" t="s">
        <v>9</v>
      </c>
      <c r="O124" s="14">
        <v>0</v>
      </c>
      <c r="P124" s="14">
        <v>1</v>
      </c>
      <c r="X124">
        <v>0</v>
      </c>
      <c r="Y124" s="14">
        <v>1E-3</v>
      </c>
      <c r="Z124" s="14">
        <v>0</v>
      </c>
      <c r="AA124" s="14">
        <v>0</v>
      </c>
      <c r="AG124" t="s">
        <v>1376</v>
      </c>
      <c r="AI124" t="s">
        <v>61</v>
      </c>
    </row>
    <row r="125" spans="2:35" x14ac:dyDescent="0.3">
      <c r="B125" t="s">
        <v>28</v>
      </c>
      <c r="C125" t="s">
        <v>1377</v>
      </c>
      <c r="D125" t="s">
        <v>1378</v>
      </c>
      <c r="F125" t="s">
        <v>32</v>
      </c>
      <c r="G125" t="s">
        <v>1379</v>
      </c>
      <c r="M125" t="s">
        <v>184</v>
      </c>
      <c r="N125" t="s">
        <v>9</v>
      </c>
      <c r="O125" s="14">
        <v>0</v>
      </c>
      <c r="P125" s="14">
        <v>1</v>
      </c>
      <c r="X125">
        <v>0</v>
      </c>
      <c r="Y125" s="14">
        <v>0.2001</v>
      </c>
      <c r="Z125" s="14">
        <v>0.2</v>
      </c>
      <c r="AA125" s="14">
        <v>0</v>
      </c>
      <c r="AG125" t="s">
        <v>1376</v>
      </c>
      <c r="AI125" t="s">
        <v>61</v>
      </c>
    </row>
    <row r="126" spans="2:35" x14ac:dyDescent="0.3">
      <c r="B126" t="s">
        <v>28</v>
      </c>
      <c r="C126" t="s">
        <v>1380</v>
      </c>
      <c r="D126" t="s">
        <v>1381</v>
      </c>
      <c r="F126" t="s">
        <v>33</v>
      </c>
      <c r="G126" t="s">
        <v>1382</v>
      </c>
      <c r="M126" t="s">
        <v>184</v>
      </c>
      <c r="N126" t="s">
        <v>9</v>
      </c>
      <c r="O126" s="14">
        <v>0</v>
      </c>
      <c r="P126" s="14">
        <v>1</v>
      </c>
      <c r="X126">
        <v>0</v>
      </c>
      <c r="Y126" s="14">
        <v>0.4738</v>
      </c>
      <c r="Z126" s="14">
        <v>0.47499999999999998</v>
      </c>
      <c r="AA126" s="14">
        <v>0</v>
      </c>
      <c r="AG126" t="s">
        <v>1383</v>
      </c>
      <c r="AI126" t="s">
        <v>61</v>
      </c>
    </row>
    <row r="127" spans="2:35" x14ac:dyDescent="0.3">
      <c r="B127" t="s">
        <v>28</v>
      </c>
      <c r="C127" t="s">
        <v>1789</v>
      </c>
      <c r="D127" t="s">
        <v>1098</v>
      </c>
      <c r="F127" t="s">
        <v>35</v>
      </c>
      <c r="G127" t="s">
        <v>1384</v>
      </c>
      <c r="M127" t="s">
        <v>184</v>
      </c>
      <c r="N127" t="s">
        <v>9</v>
      </c>
      <c r="O127" s="14">
        <v>0</v>
      </c>
      <c r="P127" s="14">
        <v>1</v>
      </c>
      <c r="X127">
        <v>0</v>
      </c>
      <c r="Y127" s="14">
        <v>0.34499999999999997</v>
      </c>
      <c r="Z127" s="14">
        <v>0.34379999999999999</v>
      </c>
      <c r="AA127" s="14">
        <v>0</v>
      </c>
      <c r="AG127" t="s">
        <v>1100</v>
      </c>
      <c r="AI127" t="s">
        <v>61</v>
      </c>
    </row>
    <row r="128" spans="2:35" x14ac:dyDescent="0.3">
      <c r="B128" t="s">
        <v>28</v>
      </c>
      <c r="C128" t="s">
        <v>1385</v>
      </c>
      <c r="D128" t="s">
        <v>1386</v>
      </c>
      <c r="F128" t="s">
        <v>36</v>
      </c>
      <c r="G128" t="s">
        <v>1387</v>
      </c>
      <c r="M128" t="s">
        <v>184</v>
      </c>
      <c r="N128" t="s">
        <v>9</v>
      </c>
      <c r="O128" s="14">
        <v>0</v>
      </c>
      <c r="P128" s="14">
        <v>1</v>
      </c>
      <c r="X128">
        <v>0</v>
      </c>
      <c r="Y128" s="14">
        <v>0.99960000000000004</v>
      </c>
      <c r="Z128" s="14">
        <v>1</v>
      </c>
      <c r="AA128" s="14">
        <v>0</v>
      </c>
      <c r="AG128">
        <v>-122</v>
      </c>
      <c r="AI128" t="s">
        <v>61</v>
      </c>
    </row>
    <row r="129" spans="2:35" x14ac:dyDescent="0.3">
      <c r="B129" t="s">
        <v>28</v>
      </c>
      <c r="C129" t="s">
        <v>1388</v>
      </c>
      <c r="D129" t="s">
        <v>1389</v>
      </c>
      <c r="F129" t="s">
        <v>37</v>
      </c>
      <c r="G129" t="s">
        <v>1390</v>
      </c>
      <c r="M129" t="s">
        <v>184</v>
      </c>
      <c r="N129" t="s">
        <v>9</v>
      </c>
      <c r="O129" s="14">
        <v>0</v>
      </c>
      <c r="P129" s="14">
        <v>1</v>
      </c>
      <c r="X129">
        <v>0</v>
      </c>
      <c r="Y129" s="14">
        <v>8.0000000000000004E-4</v>
      </c>
      <c r="Z129" s="14">
        <v>0</v>
      </c>
      <c r="AA129" s="14">
        <v>0</v>
      </c>
      <c r="AG129" t="s">
        <v>1091</v>
      </c>
      <c r="AI129" t="s">
        <v>61</v>
      </c>
    </row>
    <row r="130" spans="2:35" x14ac:dyDescent="0.3">
      <c r="B130" t="s">
        <v>162</v>
      </c>
      <c r="C130" t="s">
        <v>1391</v>
      </c>
      <c r="D130" t="s">
        <v>162</v>
      </c>
      <c r="E130">
        <v>12</v>
      </c>
      <c r="O130" s="14"/>
      <c r="P130" s="14"/>
      <c r="Y130" s="14"/>
      <c r="Z130" s="14"/>
      <c r="AA130" s="14"/>
      <c r="AI130" t="s">
        <v>61</v>
      </c>
    </row>
    <row r="131" spans="2:35" x14ac:dyDescent="0.3">
      <c r="B131" t="s">
        <v>28</v>
      </c>
      <c r="C131" t="s">
        <v>1392</v>
      </c>
      <c r="D131" t="s">
        <v>1389</v>
      </c>
      <c r="F131" t="s">
        <v>29</v>
      </c>
      <c r="G131" t="s">
        <v>1393</v>
      </c>
      <c r="M131" t="s">
        <v>184</v>
      </c>
      <c r="N131" t="s">
        <v>9</v>
      </c>
      <c r="O131" s="14">
        <v>0</v>
      </c>
      <c r="P131" s="14">
        <v>1</v>
      </c>
      <c r="X131">
        <v>0</v>
      </c>
      <c r="Y131" s="14">
        <v>1E-3</v>
      </c>
      <c r="Z131" s="14">
        <v>0</v>
      </c>
      <c r="AA131" s="14">
        <v>0</v>
      </c>
      <c r="AG131" t="s">
        <v>1094</v>
      </c>
      <c r="AI131" t="s">
        <v>61</v>
      </c>
    </row>
    <row r="132" spans="2:35" x14ac:dyDescent="0.3">
      <c r="B132" t="s">
        <v>28</v>
      </c>
      <c r="C132" t="s">
        <v>1394</v>
      </c>
      <c r="D132" t="s">
        <v>1395</v>
      </c>
      <c r="F132" t="s">
        <v>30</v>
      </c>
      <c r="G132" t="s">
        <v>1396</v>
      </c>
      <c r="M132" t="s">
        <v>184</v>
      </c>
      <c r="N132" t="s">
        <v>9</v>
      </c>
      <c r="O132" s="14">
        <v>0</v>
      </c>
      <c r="P132" s="14">
        <v>1</v>
      </c>
      <c r="X132">
        <v>0</v>
      </c>
      <c r="Y132" s="14">
        <v>0</v>
      </c>
      <c r="Z132" s="14">
        <v>0</v>
      </c>
      <c r="AA132" s="14">
        <v>0</v>
      </c>
      <c r="AG132" t="s">
        <v>1124</v>
      </c>
      <c r="AI132" t="s">
        <v>61</v>
      </c>
    </row>
    <row r="133" spans="2:35" x14ac:dyDescent="0.3">
      <c r="B133" t="s">
        <v>28</v>
      </c>
      <c r="C133" t="s">
        <v>1790</v>
      </c>
      <c r="D133" t="s">
        <v>1397</v>
      </c>
      <c r="F133" t="s">
        <v>31</v>
      </c>
      <c r="G133" t="s">
        <v>1398</v>
      </c>
      <c r="M133" t="s">
        <v>184</v>
      </c>
      <c r="N133" t="s">
        <v>9</v>
      </c>
      <c r="O133" s="14">
        <v>0</v>
      </c>
      <c r="P133" s="14">
        <v>1</v>
      </c>
      <c r="X133">
        <v>0</v>
      </c>
      <c r="Y133" s="14">
        <v>1.6999999999999999E-3</v>
      </c>
      <c r="Z133" s="14">
        <v>0</v>
      </c>
      <c r="AA133" s="14">
        <v>0</v>
      </c>
      <c r="AG133" t="s">
        <v>1097</v>
      </c>
      <c r="AI133" t="s">
        <v>61</v>
      </c>
    </row>
    <row r="134" spans="2:35" x14ac:dyDescent="0.3">
      <c r="B134" t="s">
        <v>28</v>
      </c>
      <c r="C134" t="s">
        <v>1399</v>
      </c>
      <c r="D134" t="s">
        <v>1400</v>
      </c>
      <c r="F134" t="s">
        <v>32</v>
      </c>
      <c r="G134" t="s">
        <v>1401</v>
      </c>
      <c r="M134" t="s">
        <v>184</v>
      </c>
      <c r="N134" t="s">
        <v>9</v>
      </c>
      <c r="O134" s="14">
        <v>0</v>
      </c>
      <c r="P134" s="14">
        <v>1</v>
      </c>
      <c r="X134">
        <v>0</v>
      </c>
      <c r="Y134" s="14">
        <v>2.0999999999999999E-3</v>
      </c>
      <c r="Z134" s="14">
        <v>0</v>
      </c>
      <c r="AA134" s="14">
        <v>0</v>
      </c>
      <c r="AG134" t="s">
        <v>1128</v>
      </c>
      <c r="AI134" t="s">
        <v>61</v>
      </c>
    </row>
    <row r="135" spans="2:35" x14ac:dyDescent="0.3">
      <c r="B135" t="s">
        <v>34</v>
      </c>
      <c r="C135" t="s">
        <v>1402</v>
      </c>
      <c r="F135" t="s">
        <v>33</v>
      </c>
      <c r="O135" s="14"/>
      <c r="P135" s="14"/>
      <c r="Y135" s="14" t="s">
        <v>8</v>
      </c>
      <c r="Z135" s="14" t="s">
        <v>8</v>
      </c>
      <c r="AA135" s="14"/>
    </row>
    <row r="136" spans="2:35" x14ac:dyDescent="0.3">
      <c r="B136" t="s">
        <v>28</v>
      </c>
      <c r="C136" t="s">
        <v>1403</v>
      </c>
      <c r="D136" t="s">
        <v>1404</v>
      </c>
      <c r="F136" t="s">
        <v>35</v>
      </c>
      <c r="G136" t="s">
        <v>1405</v>
      </c>
      <c r="M136" t="s">
        <v>184</v>
      </c>
      <c r="N136" t="s">
        <v>9</v>
      </c>
      <c r="O136" s="14">
        <v>0</v>
      </c>
      <c r="P136" s="14">
        <v>1</v>
      </c>
      <c r="X136">
        <v>0</v>
      </c>
      <c r="Y136" s="14">
        <v>1E-3</v>
      </c>
      <c r="Z136" s="14">
        <v>0</v>
      </c>
      <c r="AA136" s="14">
        <v>0</v>
      </c>
      <c r="AG136" t="s">
        <v>1160</v>
      </c>
      <c r="AI136" t="s">
        <v>61</v>
      </c>
    </row>
    <row r="137" spans="2:35" x14ac:dyDescent="0.3">
      <c r="B137" t="s">
        <v>28</v>
      </c>
      <c r="C137" t="s">
        <v>1791</v>
      </c>
      <c r="D137" t="s">
        <v>1406</v>
      </c>
      <c r="F137" t="s">
        <v>36</v>
      </c>
      <c r="G137" t="s">
        <v>1407</v>
      </c>
      <c r="M137" t="s">
        <v>184</v>
      </c>
      <c r="N137" t="s">
        <v>9</v>
      </c>
      <c r="O137" s="14">
        <v>0</v>
      </c>
      <c r="P137" s="14">
        <v>1</v>
      </c>
      <c r="X137">
        <v>0</v>
      </c>
      <c r="Y137" s="14">
        <v>0.42930000000000001</v>
      </c>
      <c r="Z137" s="14">
        <v>0.42980000000000002</v>
      </c>
      <c r="AA137" s="14">
        <v>0</v>
      </c>
      <c r="AG137" t="s">
        <v>1116</v>
      </c>
      <c r="AI137" t="s">
        <v>61</v>
      </c>
    </row>
    <row r="138" spans="2:35" x14ac:dyDescent="0.3">
      <c r="B138" t="s">
        <v>28</v>
      </c>
      <c r="C138" t="s">
        <v>1408</v>
      </c>
      <c r="D138" t="s">
        <v>1409</v>
      </c>
      <c r="F138" t="s">
        <v>37</v>
      </c>
      <c r="G138" t="s">
        <v>1410</v>
      </c>
      <c r="M138" t="s">
        <v>184</v>
      </c>
      <c r="N138" t="s">
        <v>9</v>
      </c>
      <c r="O138" s="14" t="s">
        <v>1411</v>
      </c>
      <c r="P138" s="14" t="s">
        <v>1412</v>
      </c>
      <c r="S138" s="14"/>
      <c r="X138">
        <v>0</v>
      </c>
      <c r="Y138" s="14" t="s">
        <v>1792</v>
      </c>
      <c r="Z138" t="s">
        <v>1198</v>
      </c>
      <c r="AA138" t="s">
        <v>1198</v>
      </c>
      <c r="AG138" t="s">
        <v>1301</v>
      </c>
      <c r="AI138" t="s">
        <v>61</v>
      </c>
    </row>
    <row r="139" spans="2:35" x14ac:dyDescent="0.3">
      <c r="B139" t="s">
        <v>162</v>
      </c>
      <c r="C139" t="s">
        <v>1413</v>
      </c>
      <c r="D139" t="s">
        <v>162</v>
      </c>
      <c r="E139">
        <v>14</v>
      </c>
      <c r="AI139" t="s">
        <v>61</v>
      </c>
    </row>
    <row r="140" spans="2:35" x14ac:dyDescent="0.3">
      <c r="B140" t="s">
        <v>28</v>
      </c>
      <c r="C140" t="s">
        <v>1414</v>
      </c>
      <c r="D140" t="s">
        <v>1415</v>
      </c>
      <c r="F140" t="s">
        <v>29</v>
      </c>
      <c r="G140" t="s">
        <v>1416</v>
      </c>
      <c r="M140" t="s">
        <v>184</v>
      </c>
      <c r="N140" t="s">
        <v>9</v>
      </c>
      <c r="O140" s="14">
        <v>0</v>
      </c>
      <c r="P140" s="14">
        <v>1</v>
      </c>
      <c r="S140" s="14"/>
      <c r="X140">
        <v>0</v>
      </c>
      <c r="Y140" s="14">
        <v>0.19939999999999999</v>
      </c>
      <c r="Z140" s="14">
        <v>0.2</v>
      </c>
      <c r="AA140" s="14">
        <v>0</v>
      </c>
      <c r="AG140" t="s">
        <v>1417</v>
      </c>
      <c r="AI140" t="s">
        <v>61</v>
      </c>
    </row>
    <row r="141" spans="2:35" x14ac:dyDescent="0.3">
      <c r="B141" t="s">
        <v>28</v>
      </c>
      <c r="C141" t="s">
        <v>1418</v>
      </c>
      <c r="D141" t="s">
        <v>1419</v>
      </c>
      <c r="F141" t="s">
        <v>30</v>
      </c>
      <c r="G141" t="s">
        <v>1420</v>
      </c>
      <c r="M141" t="s">
        <v>184</v>
      </c>
      <c r="N141" t="s">
        <v>9</v>
      </c>
      <c r="O141" t="s">
        <v>1198</v>
      </c>
      <c r="P141" t="s">
        <v>1212</v>
      </c>
      <c r="X141">
        <v>0</v>
      </c>
      <c r="Y141" t="s">
        <v>1212</v>
      </c>
      <c r="Z141" t="s">
        <v>1212</v>
      </c>
      <c r="AA141" t="s">
        <v>1198</v>
      </c>
      <c r="AG141" t="s">
        <v>1213</v>
      </c>
      <c r="AI141" t="s">
        <v>61</v>
      </c>
    </row>
    <row r="142" spans="2:35" x14ac:dyDescent="0.3">
      <c r="B142" t="s">
        <v>28</v>
      </c>
      <c r="C142" t="s">
        <v>1421</v>
      </c>
      <c r="D142" t="s">
        <v>1422</v>
      </c>
      <c r="F142" t="s">
        <v>31</v>
      </c>
      <c r="G142" t="s">
        <v>1423</v>
      </c>
      <c r="M142" t="s">
        <v>184</v>
      </c>
      <c r="N142" t="s">
        <v>9</v>
      </c>
      <c r="O142" s="14" t="s">
        <v>1198</v>
      </c>
      <c r="P142" s="14" t="s">
        <v>1212</v>
      </c>
      <c r="S142" s="14"/>
      <c r="X142">
        <v>0</v>
      </c>
      <c r="Y142" s="14" t="s">
        <v>1212</v>
      </c>
      <c r="Z142" t="s">
        <v>1212</v>
      </c>
      <c r="AA142" t="s">
        <v>1198</v>
      </c>
      <c r="AG142" t="s">
        <v>1213</v>
      </c>
      <c r="AI142" t="s">
        <v>61</v>
      </c>
    </row>
    <row r="143" spans="2:35" x14ac:dyDescent="0.3">
      <c r="B143" t="s">
        <v>28</v>
      </c>
      <c r="C143" t="s">
        <v>1424</v>
      </c>
      <c r="D143" t="s">
        <v>1425</v>
      </c>
      <c r="F143" t="s">
        <v>32</v>
      </c>
      <c r="G143" t="s">
        <v>1426</v>
      </c>
      <c r="M143" t="s">
        <v>184</v>
      </c>
      <c r="N143" t="s">
        <v>9</v>
      </c>
      <c r="O143" s="14">
        <v>0</v>
      </c>
      <c r="P143" s="14">
        <v>1</v>
      </c>
      <c r="X143">
        <v>0</v>
      </c>
      <c r="Y143" s="14">
        <v>0.2001</v>
      </c>
      <c r="Z143" s="14">
        <v>0.2</v>
      </c>
      <c r="AA143" s="14">
        <v>0</v>
      </c>
      <c r="AG143" t="s">
        <v>1427</v>
      </c>
      <c r="AI143" t="s">
        <v>61</v>
      </c>
    </row>
    <row r="144" spans="2:35" x14ac:dyDescent="0.3">
      <c r="B144" t="s">
        <v>28</v>
      </c>
      <c r="C144" t="s">
        <v>1428</v>
      </c>
      <c r="D144" t="s">
        <v>1429</v>
      </c>
      <c r="F144" t="s">
        <v>33</v>
      </c>
      <c r="G144" t="s">
        <v>1430</v>
      </c>
      <c r="M144" t="s">
        <v>184</v>
      </c>
      <c r="N144" t="s">
        <v>9</v>
      </c>
      <c r="O144" t="s">
        <v>1431</v>
      </c>
      <c r="P144" t="s">
        <v>1432</v>
      </c>
      <c r="X144">
        <v>0</v>
      </c>
      <c r="Y144" t="s">
        <v>1432</v>
      </c>
      <c r="Z144" t="s">
        <v>1432</v>
      </c>
      <c r="AA144" t="s">
        <v>1198</v>
      </c>
      <c r="AG144" t="s">
        <v>1218</v>
      </c>
      <c r="AI144" t="s">
        <v>61</v>
      </c>
    </row>
    <row r="145" spans="2:35" x14ac:dyDescent="0.3">
      <c r="B145" t="s">
        <v>28</v>
      </c>
      <c r="C145" t="s">
        <v>1433</v>
      </c>
      <c r="D145" t="s">
        <v>1434</v>
      </c>
      <c r="F145" t="s">
        <v>35</v>
      </c>
      <c r="G145" t="s">
        <v>1435</v>
      </c>
      <c r="M145" t="s">
        <v>184</v>
      </c>
      <c r="N145" t="s">
        <v>9</v>
      </c>
      <c r="O145" t="s">
        <v>1431</v>
      </c>
      <c r="P145" t="s">
        <v>1432</v>
      </c>
      <c r="X145">
        <v>0</v>
      </c>
      <c r="Y145" t="s">
        <v>1432</v>
      </c>
      <c r="Z145" t="s">
        <v>1432</v>
      </c>
      <c r="AA145" t="s">
        <v>1198</v>
      </c>
      <c r="AG145" t="s">
        <v>1218</v>
      </c>
      <c r="AI145" t="s">
        <v>61</v>
      </c>
    </row>
    <row r="146" spans="2:35" x14ac:dyDescent="0.3">
      <c r="B146" t="s">
        <v>28</v>
      </c>
      <c r="C146" t="s">
        <v>1436</v>
      </c>
      <c r="D146" t="s">
        <v>1437</v>
      </c>
      <c r="F146" t="s">
        <v>36</v>
      </c>
      <c r="G146" t="s">
        <v>1438</v>
      </c>
      <c r="M146" t="s">
        <v>184</v>
      </c>
      <c r="N146" t="s">
        <v>9</v>
      </c>
      <c r="O146" s="14">
        <v>0</v>
      </c>
      <c r="P146" s="14">
        <v>1</v>
      </c>
      <c r="X146">
        <v>0</v>
      </c>
      <c r="Y146" s="14">
        <v>1.5E-3</v>
      </c>
      <c r="Z146" s="14">
        <v>0</v>
      </c>
      <c r="AA146" s="14">
        <v>0</v>
      </c>
      <c r="AG146" t="s">
        <v>1132</v>
      </c>
      <c r="AI146" t="s">
        <v>61</v>
      </c>
    </row>
    <row r="147" spans="2:35" x14ac:dyDescent="0.3">
      <c r="B147" t="s">
        <v>28</v>
      </c>
      <c r="C147" t="s">
        <v>1439</v>
      </c>
      <c r="D147" t="s">
        <v>1440</v>
      </c>
      <c r="F147" t="s">
        <v>37</v>
      </c>
      <c r="G147" t="s">
        <v>1441</v>
      </c>
      <c r="M147" t="s">
        <v>184</v>
      </c>
      <c r="N147" t="s">
        <v>9</v>
      </c>
      <c r="O147" s="14">
        <v>0</v>
      </c>
      <c r="P147" s="14">
        <v>1</v>
      </c>
      <c r="X147">
        <v>0</v>
      </c>
      <c r="Y147" s="14">
        <v>2.0999999999999999E-3</v>
      </c>
      <c r="Z147" s="14">
        <v>0</v>
      </c>
      <c r="AA147" s="14">
        <v>0</v>
      </c>
      <c r="AG147" t="s">
        <v>1177</v>
      </c>
      <c r="AI147" t="s">
        <v>61</v>
      </c>
    </row>
    <row r="148" spans="2:35" x14ac:dyDescent="0.3">
      <c r="B148" t="s">
        <v>162</v>
      </c>
      <c r="C148" t="s">
        <v>1442</v>
      </c>
      <c r="D148" t="s">
        <v>162</v>
      </c>
      <c r="E148">
        <v>15</v>
      </c>
      <c r="AI148" t="s">
        <v>61</v>
      </c>
    </row>
    <row r="149" spans="2:35" x14ac:dyDescent="0.3">
      <c r="B149" t="s">
        <v>28</v>
      </c>
      <c r="C149" t="s">
        <v>1443</v>
      </c>
      <c r="D149" t="s">
        <v>1444</v>
      </c>
      <c r="F149" t="s">
        <v>29</v>
      </c>
      <c r="G149" t="s">
        <v>1445</v>
      </c>
      <c r="M149" t="s">
        <v>184</v>
      </c>
      <c r="N149" t="s">
        <v>9</v>
      </c>
      <c r="O149" s="14">
        <v>0</v>
      </c>
      <c r="P149" s="14">
        <v>1</v>
      </c>
      <c r="X149">
        <v>0</v>
      </c>
      <c r="Y149" s="14">
        <v>0.60199999999999998</v>
      </c>
      <c r="Z149" s="14">
        <v>0.6</v>
      </c>
      <c r="AA149" s="14">
        <v>0</v>
      </c>
      <c r="AG149" t="s">
        <v>1446</v>
      </c>
      <c r="AI149" t="s">
        <v>61</v>
      </c>
    </row>
    <row r="150" spans="2:35" x14ac:dyDescent="0.3">
      <c r="B150" t="s">
        <v>28</v>
      </c>
      <c r="C150" t="s">
        <v>1447</v>
      </c>
      <c r="D150" t="s">
        <v>1448</v>
      </c>
      <c r="F150" t="s">
        <v>30</v>
      </c>
      <c r="G150" t="s">
        <v>1449</v>
      </c>
      <c r="M150" t="s">
        <v>184</v>
      </c>
      <c r="N150" t="s">
        <v>9</v>
      </c>
      <c r="O150" s="14">
        <v>0</v>
      </c>
      <c r="P150" s="14">
        <v>1</v>
      </c>
      <c r="X150">
        <v>0</v>
      </c>
      <c r="Y150" s="14">
        <v>0.19900000000000001</v>
      </c>
      <c r="Z150" s="14">
        <v>0.2</v>
      </c>
      <c r="AA150" s="14">
        <v>0</v>
      </c>
      <c r="AG150" t="s">
        <v>1450</v>
      </c>
      <c r="AI150" t="s">
        <v>61</v>
      </c>
    </row>
    <row r="151" spans="2:35" x14ac:dyDescent="0.3">
      <c r="B151" t="s">
        <v>28</v>
      </c>
      <c r="C151" t="s">
        <v>1451</v>
      </c>
      <c r="D151" t="s">
        <v>1452</v>
      </c>
      <c r="F151" t="s">
        <v>31</v>
      </c>
      <c r="G151" t="s">
        <v>1453</v>
      </c>
      <c r="M151" t="s">
        <v>184</v>
      </c>
      <c r="N151" t="s">
        <v>9</v>
      </c>
      <c r="O151" t="s">
        <v>1454</v>
      </c>
      <c r="P151" t="s">
        <v>1455</v>
      </c>
      <c r="X151">
        <v>0</v>
      </c>
      <c r="Y151" t="s">
        <v>1455</v>
      </c>
      <c r="Z151" t="s">
        <v>1455</v>
      </c>
      <c r="AA151" t="s">
        <v>1198</v>
      </c>
      <c r="AG151" t="s">
        <v>1223</v>
      </c>
      <c r="AI151" t="s">
        <v>61</v>
      </c>
    </row>
    <row r="152" spans="2:35" x14ac:dyDescent="0.3">
      <c r="B152" t="s">
        <v>28</v>
      </c>
      <c r="C152" t="s">
        <v>1456</v>
      </c>
      <c r="D152" t="s">
        <v>1457</v>
      </c>
      <c r="F152" t="s">
        <v>32</v>
      </c>
      <c r="G152" t="s">
        <v>1458</v>
      </c>
      <c r="M152" t="s">
        <v>184</v>
      </c>
      <c r="N152" t="s">
        <v>9</v>
      </c>
      <c r="O152" t="s">
        <v>1454</v>
      </c>
      <c r="P152" t="s">
        <v>1455</v>
      </c>
      <c r="X152">
        <v>0</v>
      </c>
      <c r="Y152" t="s">
        <v>1793</v>
      </c>
      <c r="Z152" t="s">
        <v>1455</v>
      </c>
      <c r="AA152" t="s">
        <v>1198</v>
      </c>
      <c r="AG152" t="s">
        <v>1223</v>
      </c>
      <c r="AI152" t="s">
        <v>61</v>
      </c>
    </row>
    <row r="153" spans="2:35" x14ac:dyDescent="0.3">
      <c r="B153" t="s">
        <v>28</v>
      </c>
      <c r="C153" t="s">
        <v>1459</v>
      </c>
      <c r="D153" t="s">
        <v>1460</v>
      </c>
      <c r="F153" t="s">
        <v>33</v>
      </c>
      <c r="G153" t="s">
        <v>1461</v>
      </c>
      <c r="M153" t="s">
        <v>184</v>
      </c>
      <c r="N153" t="s">
        <v>9</v>
      </c>
      <c r="O153" s="14">
        <v>0</v>
      </c>
      <c r="P153" s="14">
        <v>1</v>
      </c>
      <c r="X153">
        <v>0</v>
      </c>
      <c r="Y153" s="14">
        <v>0.99819999999999998</v>
      </c>
      <c r="Z153" s="14">
        <v>1</v>
      </c>
      <c r="AA153" s="14">
        <v>0</v>
      </c>
      <c r="AG153" t="s">
        <v>1136</v>
      </c>
      <c r="AI153" t="s">
        <v>61</v>
      </c>
    </row>
    <row r="154" spans="2:35" x14ac:dyDescent="0.3">
      <c r="B154" t="s">
        <v>28</v>
      </c>
      <c r="C154" t="s">
        <v>1794</v>
      </c>
      <c r="D154" t="s">
        <v>1462</v>
      </c>
      <c r="F154" t="s">
        <v>35</v>
      </c>
      <c r="G154" t="s">
        <v>1463</v>
      </c>
      <c r="M154" t="s">
        <v>184</v>
      </c>
      <c r="N154" t="s">
        <v>9</v>
      </c>
      <c r="O154" s="14">
        <v>0</v>
      </c>
      <c r="P154" s="14">
        <v>1</v>
      </c>
      <c r="X154">
        <v>0</v>
      </c>
      <c r="Y154" s="14">
        <v>1.6999999999999999E-3</v>
      </c>
      <c r="Z154" s="14">
        <v>0</v>
      </c>
      <c r="AA154" s="14">
        <v>0</v>
      </c>
      <c r="AG154" t="s">
        <v>1104</v>
      </c>
      <c r="AI154" t="s">
        <v>61</v>
      </c>
    </row>
    <row r="155" spans="2:35" x14ac:dyDescent="0.3">
      <c r="B155" t="s">
        <v>28</v>
      </c>
      <c r="C155" t="s">
        <v>1464</v>
      </c>
      <c r="D155" t="s">
        <v>1465</v>
      </c>
      <c r="F155" t="s">
        <v>36</v>
      </c>
      <c r="G155" t="s">
        <v>1466</v>
      </c>
      <c r="M155" t="s">
        <v>184</v>
      </c>
      <c r="N155" t="s">
        <v>9</v>
      </c>
      <c r="O155" s="14">
        <v>0</v>
      </c>
      <c r="P155" s="14">
        <v>1</v>
      </c>
      <c r="X155">
        <v>0</v>
      </c>
      <c r="Y155" s="14">
        <v>5.0000000000000001E-4</v>
      </c>
      <c r="Z155" s="14">
        <v>0</v>
      </c>
      <c r="AA155" s="14">
        <v>0</v>
      </c>
      <c r="AG155" t="s">
        <v>1140</v>
      </c>
      <c r="AI155" t="s">
        <v>61</v>
      </c>
    </row>
    <row r="156" spans="2:35" x14ac:dyDescent="0.3">
      <c r="B156" t="s">
        <v>28</v>
      </c>
      <c r="C156" t="s">
        <v>1795</v>
      </c>
      <c r="D156" t="s">
        <v>1467</v>
      </c>
      <c r="F156" t="s">
        <v>37</v>
      </c>
      <c r="G156" t="s">
        <v>1468</v>
      </c>
      <c r="M156" t="s">
        <v>184</v>
      </c>
      <c r="N156" t="s">
        <v>9</v>
      </c>
      <c r="O156" s="14">
        <v>0</v>
      </c>
      <c r="P156" s="14">
        <v>1</v>
      </c>
      <c r="X156">
        <v>0</v>
      </c>
      <c r="Y156" s="14">
        <v>1.2999999999999999E-3</v>
      </c>
      <c r="Z156" s="14">
        <v>0</v>
      </c>
      <c r="AA156" s="14">
        <v>0</v>
      </c>
      <c r="AG156" t="s">
        <v>1107</v>
      </c>
      <c r="AI156" t="s">
        <v>61</v>
      </c>
    </row>
    <row r="157" spans="2:35" x14ac:dyDescent="0.3">
      <c r="B157" t="s">
        <v>162</v>
      </c>
      <c r="C157" t="s">
        <v>1469</v>
      </c>
      <c r="D157" t="s">
        <v>162</v>
      </c>
      <c r="E157">
        <v>16</v>
      </c>
      <c r="O157" s="14"/>
      <c r="P157" s="14"/>
      <c r="S157" s="14"/>
      <c r="Y157" s="14"/>
      <c r="AI157" t="s">
        <v>61</v>
      </c>
    </row>
    <row r="158" spans="2:35" x14ac:dyDescent="0.3">
      <c r="B158" t="s">
        <v>28</v>
      </c>
      <c r="C158" t="s">
        <v>1470</v>
      </c>
      <c r="D158" t="s">
        <v>1471</v>
      </c>
      <c r="F158" t="s">
        <v>29</v>
      </c>
      <c r="G158" t="s">
        <v>1472</v>
      </c>
      <c r="M158" t="s">
        <v>184</v>
      </c>
      <c r="N158" t="s">
        <v>9</v>
      </c>
      <c r="O158" s="14">
        <v>0</v>
      </c>
      <c r="P158" s="14">
        <v>1</v>
      </c>
      <c r="S158" s="14"/>
      <c r="X158">
        <v>0</v>
      </c>
      <c r="Y158" s="14">
        <v>0.46239999999999998</v>
      </c>
      <c r="Z158" s="14">
        <v>0.46139999999999998</v>
      </c>
      <c r="AA158" s="14">
        <v>0</v>
      </c>
      <c r="AG158" t="s">
        <v>1473</v>
      </c>
      <c r="AI158" t="s">
        <v>61</v>
      </c>
    </row>
    <row r="159" spans="2:35" x14ac:dyDescent="0.3">
      <c r="B159" t="s">
        <v>28</v>
      </c>
      <c r="C159" t="s">
        <v>1474</v>
      </c>
      <c r="D159" t="s">
        <v>1475</v>
      </c>
      <c r="F159" t="s">
        <v>30</v>
      </c>
      <c r="G159" t="s">
        <v>1476</v>
      </c>
      <c r="M159" t="s">
        <v>184</v>
      </c>
      <c r="N159" t="s">
        <v>9</v>
      </c>
      <c r="O159" s="14" t="s">
        <v>1477</v>
      </c>
      <c r="P159" s="14" t="s">
        <v>1354</v>
      </c>
      <c r="S159" s="14"/>
      <c r="X159">
        <v>0</v>
      </c>
      <c r="Y159" s="14" t="s">
        <v>1478</v>
      </c>
      <c r="Z159" t="s">
        <v>1477</v>
      </c>
      <c r="AA159" t="s">
        <v>1198</v>
      </c>
      <c r="AG159" t="s">
        <v>1232</v>
      </c>
      <c r="AI159" t="s">
        <v>61</v>
      </c>
    </row>
    <row r="160" spans="2:35" x14ac:dyDescent="0.3">
      <c r="B160" t="s">
        <v>28</v>
      </c>
      <c r="C160" t="s">
        <v>1479</v>
      </c>
      <c r="D160" t="s">
        <v>1480</v>
      </c>
      <c r="F160" t="s">
        <v>31</v>
      </c>
      <c r="G160" t="s">
        <v>1481</v>
      </c>
      <c r="M160" t="s">
        <v>184</v>
      </c>
      <c r="N160" t="s">
        <v>9</v>
      </c>
      <c r="O160" s="14" t="s">
        <v>1482</v>
      </c>
      <c r="P160" s="14" t="s">
        <v>1432</v>
      </c>
      <c r="S160" s="14"/>
      <c r="X160">
        <v>0</v>
      </c>
      <c r="Y160" s="14" t="s">
        <v>1796</v>
      </c>
      <c r="Z160" t="s">
        <v>1432</v>
      </c>
      <c r="AA160" t="s">
        <v>1198</v>
      </c>
      <c r="AG160" t="s">
        <v>1232</v>
      </c>
      <c r="AI160" t="s">
        <v>61</v>
      </c>
    </row>
    <row r="161" spans="2:35" x14ac:dyDescent="0.3">
      <c r="B161" t="s">
        <v>28</v>
      </c>
      <c r="C161" t="s">
        <v>1483</v>
      </c>
      <c r="D161" t="s">
        <v>1484</v>
      </c>
      <c r="F161" t="s">
        <v>32</v>
      </c>
      <c r="G161" t="s">
        <v>1485</v>
      </c>
      <c r="M161" t="s">
        <v>184</v>
      </c>
      <c r="N161" t="s">
        <v>9</v>
      </c>
      <c r="O161" s="14" t="s">
        <v>1486</v>
      </c>
      <c r="P161" s="14" t="s">
        <v>1487</v>
      </c>
      <c r="S161" s="14"/>
      <c r="X161">
        <v>0</v>
      </c>
      <c r="Y161" s="14" t="s">
        <v>1487</v>
      </c>
      <c r="Z161" t="s">
        <v>1487</v>
      </c>
      <c r="AA161" t="s">
        <v>1198</v>
      </c>
      <c r="AG161" t="s">
        <v>1228</v>
      </c>
      <c r="AI161" t="s">
        <v>61</v>
      </c>
    </row>
    <row r="162" spans="2:35" x14ac:dyDescent="0.3">
      <c r="B162" t="s">
        <v>28</v>
      </c>
      <c r="C162" t="s">
        <v>1488</v>
      </c>
      <c r="D162" t="s">
        <v>1489</v>
      </c>
      <c r="F162" t="s">
        <v>33</v>
      </c>
      <c r="G162" t="s">
        <v>1490</v>
      </c>
      <c r="M162" t="s">
        <v>184</v>
      </c>
      <c r="N162" t="s">
        <v>9</v>
      </c>
      <c r="O162" s="14" t="s">
        <v>1491</v>
      </c>
      <c r="P162" s="14" t="s">
        <v>1492</v>
      </c>
      <c r="S162" s="14"/>
      <c r="X162">
        <v>0</v>
      </c>
      <c r="Y162" s="14" t="s">
        <v>1493</v>
      </c>
      <c r="Z162" t="s">
        <v>1492</v>
      </c>
      <c r="AA162" t="s">
        <v>1198</v>
      </c>
      <c r="AG162" t="s">
        <v>1228</v>
      </c>
      <c r="AI162" t="s">
        <v>61</v>
      </c>
    </row>
    <row r="163" spans="2:35" x14ac:dyDescent="0.3">
      <c r="B163" t="s">
        <v>28</v>
      </c>
      <c r="C163" t="s">
        <v>1494</v>
      </c>
      <c r="D163" t="s">
        <v>1495</v>
      </c>
      <c r="F163" t="s">
        <v>35</v>
      </c>
      <c r="G163" t="s">
        <v>1496</v>
      </c>
      <c r="M163" t="s">
        <v>184</v>
      </c>
      <c r="N163" t="s">
        <v>9</v>
      </c>
      <c r="O163" s="14">
        <v>0</v>
      </c>
      <c r="P163" s="14">
        <v>1</v>
      </c>
      <c r="S163" s="14"/>
      <c r="X163">
        <v>0</v>
      </c>
      <c r="Y163" s="14">
        <v>0.3251</v>
      </c>
      <c r="Z163" s="14">
        <v>0.32669999999999999</v>
      </c>
      <c r="AA163" s="14">
        <v>0</v>
      </c>
      <c r="AG163" t="s">
        <v>1145</v>
      </c>
      <c r="AI163" t="s">
        <v>61</v>
      </c>
    </row>
    <row r="164" spans="2:35" x14ac:dyDescent="0.3">
      <c r="B164" t="s">
        <v>28</v>
      </c>
      <c r="C164" t="s">
        <v>1797</v>
      </c>
      <c r="D164" t="s">
        <v>1497</v>
      </c>
      <c r="F164" t="s">
        <v>36</v>
      </c>
      <c r="G164" t="s">
        <v>1498</v>
      </c>
      <c r="M164" t="s">
        <v>184</v>
      </c>
      <c r="N164" t="s">
        <v>9</v>
      </c>
      <c r="O164" s="14">
        <v>0</v>
      </c>
      <c r="P164" s="14">
        <v>1</v>
      </c>
      <c r="X164">
        <v>0</v>
      </c>
      <c r="Y164" s="14">
        <v>5.9999999999999995E-4</v>
      </c>
      <c r="Z164" s="14">
        <v>0</v>
      </c>
      <c r="AA164" s="14">
        <v>0</v>
      </c>
      <c r="AG164" t="s">
        <v>1110</v>
      </c>
      <c r="AI164" t="s">
        <v>61</v>
      </c>
    </row>
    <row r="165" spans="2:35" x14ac:dyDescent="0.3">
      <c r="B165" t="s">
        <v>28</v>
      </c>
      <c r="C165" t="s">
        <v>1499</v>
      </c>
      <c r="D165" t="s">
        <v>1500</v>
      </c>
      <c r="F165" t="s">
        <v>37</v>
      </c>
      <c r="M165" t="s">
        <v>8</v>
      </c>
      <c r="N165" t="s">
        <v>8</v>
      </c>
      <c r="O165" s="14" t="s">
        <v>8</v>
      </c>
      <c r="P165" s="14" t="s">
        <v>8</v>
      </c>
      <c r="S165" s="14"/>
      <c r="X165">
        <v>0</v>
      </c>
      <c r="Y165" s="14" t="s">
        <v>8</v>
      </c>
      <c r="Z165" t="s">
        <v>8</v>
      </c>
      <c r="AA165" t="s">
        <v>8</v>
      </c>
      <c r="AI165" t="s">
        <v>61</v>
      </c>
    </row>
    <row r="166" spans="2:35" x14ac:dyDescent="0.3">
      <c r="B166" t="s">
        <v>162</v>
      </c>
      <c r="C166" t="s">
        <v>1501</v>
      </c>
      <c r="D166" t="s">
        <v>162</v>
      </c>
      <c r="E166">
        <v>17</v>
      </c>
      <c r="AI166" t="s">
        <v>61</v>
      </c>
    </row>
    <row r="167" spans="2:35" x14ac:dyDescent="0.3">
      <c r="B167" t="s">
        <v>28</v>
      </c>
      <c r="C167" t="s">
        <v>1798</v>
      </c>
      <c r="D167" t="s">
        <v>1502</v>
      </c>
      <c r="F167" t="s">
        <v>29</v>
      </c>
      <c r="G167" t="s">
        <v>1503</v>
      </c>
      <c r="M167" t="s">
        <v>184</v>
      </c>
      <c r="N167" t="s">
        <v>9</v>
      </c>
      <c r="O167" s="14">
        <v>0</v>
      </c>
      <c r="P167" s="14">
        <v>1</v>
      </c>
      <c r="S167" s="14"/>
      <c r="X167">
        <v>0</v>
      </c>
      <c r="Y167" s="14">
        <v>0.60160000000000002</v>
      </c>
      <c r="Z167" s="14">
        <v>0.6</v>
      </c>
      <c r="AA167" s="14">
        <v>0</v>
      </c>
      <c r="AG167" t="s">
        <v>1504</v>
      </c>
      <c r="AI167" t="s">
        <v>61</v>
      </c>
    </row>
    <row r="168" spans="2:35" x14ac:dyDescent="0.3">
      <c r="B168" t="s">
        <v>28</v>
      </c>
      <c r="C168" t="s">
        <v>1799</v>
      </c>
      <c r="D168" t="s">
        <v>1502</v>
      </c>
      <c r="F168" t="s">
        <v>30</v>
      </c>
      <c r="G168" t="s">
        <v>1505</v>
      </c>
      <c r="M168" t="s">
        <v>184</v>
      </c>
      <c r="N168" t="s">
        <v>9</v>
      </c>
      <c r="O168" s="14">
        <v>0</v>
      </c>
      <c r="P168" s="14">
        <v>1</v>
      </c>
      <c r="X168">
        <v>0</v>
      </c>
      <c r="Y168" s="14">
        <v>1.4E-3</v>
      </c>
      <c r="Z168" s="14">
        <v>0</v>
      </c>
      <c r="AA168" s="14">
        <v>0</v>
      </c>
      <c r="AG168" t="s">
        <v>1506</v>
      </c>
      <c r="AI168" t="s">
        <v>61</v>
      </c>
    </row>
    <row r="169" spans="2:35" x14ac:dyDescent="0.3">
      <c r="B169" t="s">
        <v>28</v>
      </c>
      <c r="C169" t="s">
        <v>1507</v>
      </c>
      <c r="D169" t="s">
        <v>1508</v>
      </c>
      <c r="F169" t="s">
        <v>31</v>
      </c>
      <c r="G169" t="s">
        <v>1509</v>
      </c>
      <c r="M169" t="s">
        <v>184</v>
      </c>
      <c r="N169" t="s">
        <v>9</v>
      </c>
      <c r="O169" t="s">
        <v>1198</v>
      </c>
      <c r="P169" t="s">
        <v>1212</v>
      </c>
      <c r="X169">
        <v>0</v>
      </c>
      <c r="Y169" t="s">
        <v>1212</v>
      </c>
      <c r="Z169" t="s">
        <v>1492</v>
      </c>
      <c r="AA169" t="s">
        <v>1198</v>
      </c>
      <c r="AG169" t="s">
        <v>1294</v>
      </c>
      <c r="AI169" t="s">
        <v>61</v>
      </c>
    </row>
    <row r="170" spans="2:35" x14ac:dyDescent="0.3">
      <c r="B170" t="s">
        <v>28</v>
      </c>
      <c r="C170" t="s">
        <v>1510</v>
      </c>
      <c r="D170" t="s">
        <v>1511</v>
      </c>
      <c r="F170" t="s">
        <v>32</v>
      </c>
      <c r="G170" t="s">
        <v>1512</v>
      </c>
      <c r="M170" t="s">
        <v>184</v>
      </c>
      <c r="N170" t="s">
        <v>9</v>
      </c>
      <c r="O170" t="s">
        <v>1513</v>
      </c>
      <c r="P170" t="s">
        <v>1514</v>
      </c>
      <c r="X170">
        <v>0</v>
      </c>
      <c r="Y170" t="s">
        <v>1800</v>
      </c>
      <c r="Z170" t="s">
        <v>1513</v>
      </c>
      <c r="AA170" t="s">
        <v>1198</v>
      </c>
      <c r="AG170" t="s">
        <v>1242</v>
      </c>
      <c r="AI170" t="s">
        <v>61</v>
      </c>
    </row>
    <row r="171" spans="2:35" x14ac:dyDescent="0.3">
      <c r="B171" t="s">
        <v>28</v>
      </c>
      <c r="C171" t="s">
        <v>1515</v>
      </c>
      <c r="D171" t="s">
        <v>1516</v>
      </c>
      <c r="F171" t="s">
        <v>33</v>
      </c>
      <c r="G171" t="s">
        <v>1517</v>
      </c>
      <c r="M171" t="s">
        <v>184</v>
      </c>
      <c r="N171" t="s">
        <v>9</v>
      </c>
      <c r="O171" t="s">
        <v>1513</v>
      </c>
      <c r="P171" t="s">
        <v>1514</v>
      </c>
      <c r="X171">
        <v>0</v>
      </c>
      <c r="Y171" t="s">
        <v>1801</v>
      </c>
      <c r="Z171" t="s">
        <v>1513</v>
      </c>
      <c r="AA171" t="s">
        <v>1198</v>
      </c>
      <c r="AG171" t="s">
        <v>1242</v>
      </c>
      <c r="AI171" t="s">
        <v>61</v>
      </c>
    </row>
    <row r="172" spans="2:35" x14ac:dyDescent="0.3">
      <c r="B172" t="s">
        <v>28</v>
      </c>
      <c r="C172" t="s">
        <v>1518</v>
      </c>
      <c r="D172" t="s">
        <v>1519</v>
      </c>
      <c r="F172" t="s">
        <v>35</v>
      </c>
      <c r="G172" t="s">
        <v>1520</v>
      </c>
      <c r="M172" t="s">
        <v>184</v>
      </c>
      <c r="N172" t="s">
        <v>9</v>
      </c>
      <c r="O172" s="14">
        <v>0</v>
      </c>
      <c r="P172" s="14">
        <v>1</v>
      </c>
      <c r="X172">
        <v>0</v>
      </c>
      <c r="Y172" s="14">
        <v>0.99819999999999998</v>
      </c>
      <c r="Z172" s="14">
        <v>1</v>
      </c>
      <c r="AA172" s="14">
        <v>0</v>
      </c>
      <c r="AG172" t="s">
        <v>1149</v>
      </c>
      <c r="AI172" t="s">
        <v>61</v>
      </c>
    </row>
    <row r="173" spans="2:35" x14ac:dyDescent="0.3">
      <c r="B173" t="s">
        <v>28</v>
      </c>
      <c r="C173" t="s">
        <v>1521</v>
      </c>
      <c r="D173" t="s">
        <v>1519</v>
      </c>
      <c r="F173" t="s">
        <v>36</v>
      </c>
      <c r="G173" t="s">
        <v>1522</v>
      </c>
      <c r="M173" t="s">
        <v>184</v>
      </c>
      <c r="N173" t="s">
        <v>9</v>
      </c>
      <c r="O173" s="14">
        <v>0</v>
      </c>
      <c r="P173" s="14">
        <v>1</v>
      </c>
      <c r="X173">
        <v>0</v>
      </c>
      <c r="Y173" s="14">
        <v>4.0000000000000002E-4</v>
      </c>
      <c r="Z173" s="14">
        <v>0</v>
      </c>
      <c r="AA173" s="14">
        <v>0</v>
      </c>
      <c r="AG173" t="s">
        <v>1152</v>
      </c>
      <c r="AI173" t="s">
        <v>61</v>
      </c>
    </row>
    <row r="174" spans="2:35" x14ac:dyDescent="0.3">
      <c r="B174" t="s">
        <v>28</v>
      </c>
      <c r="C174" t="s">
        <v>1523</v>
      </c>
      <c r="D174" t="s">
        <v>1524</v>
      </c>
      <c r="F174" t="s">
        <v>37</v>
      </c>
      <c r="G174" t="s">
        <v>1525</v>
      </c>
      <c r="M174" t="s">
        <v>184</v>
      </c>
      <c r="N174" t="s">
        <v>9</v>
      </c>
      <c r="O174" t="s">
        <v>1526</v>
      </c>
      <c r="P174" t="s">
        <v>1527</v>
      </c>
      <c r="X174">
        <v>0</v>
      </c>
      <c r="Y174" t="s">
        <v>1528</v>
      </c>
      <c r="Z174" t="s">
        <v>1527</v>
      </c>
      <c r="AA174" t="s">
        <v>1198</v>
      </c>
      <c r="AG174" t="s">
        <v>1529</v>
      </c>
      <c r="AI174" t="s">
        <v>61</v>
      </c>
    </row>
    <row r="175" spans="2:35" x14ac:dyDescent="0.3">
      <c r="B175" t="s">
        <v>162</v>
      </c>
      <c r="C175" t="s">
        <v>1530</v>
      </c>
      <c r="D175" t="s">
        <v>162</v>
      </c>
      <c r="E175">
        <v>18</v>
      </c>
      <c r="AI175" t="s">
        <v>61</v>
      </c>
    </row>
    <row r="176" spans="2:35" x14ac:dyDescent="0.3">
      <c r="B176" t="s">
        <v>28</v>
      </c>
      <c r="C176" t="s">
        <v>1531</v>
      </c>
      <c r="D176" t="s">
        <v>1532</v>
      </c>
      <c r="F176" t="s">
        <v>29</v>
      </c>
      <c r="G176" t="s">
        <v>1533</v>
      </c>
      <c r="M176" t="s">
        <v>184</v>
      </c>
      <c r="N176" t="s">
        <v>9</v>
      </c>
      <c r="O176" s="14">
        <v>0</v>
      </c>
      <c r="P176" s="14">
        <v>1</v>
      </c>
      <c r="X176">
        <v>0</v>
      </c>
      <c r="Y176" s="14">
        <v>0.49559999999999998</v>
      </c>
      <c r="Z176" s="14">
        <v>0.497</v>
      </c>
      <c r="AA176" s="14">
        <v>0</v>
      </c>
      <c r="AG176" t="s">
        <v>1534</v>
      </c>
      <c r="AI176" t="s">
        <v>61</v>
      </c>
    </row>
    <row r="177" spans="2:35" x14ac:dyDescent="0.3">
      <c r="B177" t="s">
        <v>28</v>
      </c>
      <c r="C177" t="s">
        <v>1535</v>
      </c>
      <c r="D177" t="s">
        <v>1536</v>
      </c>
      <c r="F177" t="s">
        <v>30</v>
      </c>
      <c r="G177" t="s">
        <v>1537</v>
      </c>
      <c r="M177" t="s">
        <v>184</v>
      </c>
      <c r="N177" t="s">
        <v>9</v>
      </c>
      <c r="O177" t="s">
        <v>1538</v>
      </c>
      <c r="P177" t="s">
        <v>1539</v>
      </c>
      <c r="X177">
        <v>0</v>
      </c>
      <c r="Y177" t="s">
        <v>1802</v>
      </c>
      <c r="Z177" t="s">
        <v>1538</v>
      </c>
      <c r="AA177" t="s">
        <v>1198</v>
      </c>
      <c r="AG177" t="s">
        <v>1247</v>
      </c>
      <c r="AI177" t="s">
        <v>61</v>
      </c>
    </row>
    <row r="178" spans="2:35" x14ac:dyDescent="0.3">
      <c r="B178" t="s">
        <v>28</v>
      </c>
      <c r="C178" t="s">
        <v>1540</v>
      </c>
      <c r="D178" t="s">
        <v>1541</v>
      </c>
      <c r="F178" t="s">
        <v>31</v>
      </c>
      <c r="G178" t="s">
        <v>1542</v>
      </c>
      <c r="M178" t="s">
        <v>184</v>
      </c>
      <c r="N178" t="s">
        <v>9</v>
      </c>
      <c r="O178" t="s">
        <v>1543</v>
      </c>
      <c r="P178" t="s">
        <v>1544</v>
      </c>
      <c r="X178">
        <v>0</v>
      </c>
      <c r="Y178" t="s">
        <v>1803</v>
      </c>
      <c r="Z178" t="s">
        <v>1543</v>
      </c>
      <c r="AA178" t="s">
        <v>1198</v>
      </c>
      <c r="AG178" t="s">
        <v>1247</v>
      </c>
      <c r="AI178" t="s">
        <v>61</v>
      </c>
    </row>
    <row r="179" spans="2:35" x14ac:dyDescent="0.3">
      <c r="B179" t="s">
        <v>28</v>
      </c>
      <c r="C179" t="s">
        <v>1545</v>
      </c>
      <c r="D179" t="s">
        <v>1546</v>
      </c>
      <c r="F179" t="s">
        <v>32</v>
      </c>
      <c r="G179" t="s">
        <v>1547</v>
      </c>
      <c r="M179" t="s">
        <v>184</v>
      </c>
      <c r="N179" t="s">
        <v>9</v>
      </c>
      <c r="O179" s="14">
        <v>0</v>
      </c>
      <c r="P179" s="14">
        <v>1</v>
      </c>
      <c r="X179">
        <v>0</v>
      </c>
      <c r="Y179" s="14">
        <v>0.54300000000000004</v>
      </c>
      <c r="Z179" s="14">
        <v>0.54379999999999995</v>
      </c>
      <c r="AA179" s="14">
        <v>0</v>
      </c>
      <c r="AG179" t="s">
        <v>1548</v>
      </c>
      <c r="AI179" t="s">
        <v>61</v>
      </c>
    </row>
    <row r="180" spans="2:35" x14ac:dyDescent="0.3">
      <c r="B180" t="s">
        <v>28</v>
      </c>
      <c r="C180" t="s">
        <v>1549</v>
      </c>
      <c r="D180" t="s">
        <v>1550</v>
      </c>
      <c r="F180" t="s">
        <v>33</v>
      </c>
      <c r="G180" t="s">
        <v>1551</v>
      </c>
      <c r="M180" t="s">
        <v>184</v>
      </c>
      <c r="N180" t="s">
        <v>9</v>
      </c>
      <c r="O180" t="s">
        <v>1411</v>
      </c>
      <c r="P180" t="s">
        <v>1412</v>
      </c>
      <c r="X180">
        <v>0</v>
      </c>
      <c r="Y180" t="s">
        <v>1792</v>
      </c>
      <c r="Z180" t="s">
        <v>1411</v>
      </c>
      <c r="AA180" t="s">
        <v>1198</v>
      </c>
      <c r="AG180" t="s">
        <v>1251</v>
      </c>
      <c r="AI180" t="s">
        <v>61</v>
      </c>
    </row>
    <row r="181" spans="2:35" x14ac:dyDescent="0.3">
      <c r="B181" t="s">
        <v>28</v>
      </c>
      <c r="C181" t="s">
        <v>1552</v>
      </c>
      <c r="D181" t="s">
        <v>1553</v>
      </c>
      <c r="F181" t="s">
        <v>35</v>
      </c>
      <c r="G181" t="s">
        <v>1554</v>
      </c>
      <c r="M181" t="s">
        <v>184</v>
      </c>
      <c r="N181" t="s">
        <v>9</v>
      </c>
      <c r="O181" s="14" t="s">
        <v>1555</v>
      </c>
      <c r="P181" s="14" t="s">
        <v>1455</v>
      </c>
      <c r="S181" s="14"/>
      <c r="X181">
        <v>0</v>
      </c>
      <c r="Y181" s="14" t="s">
        <v>1804</v>
      </c>
      <c r="Z181" t="s">
        <v>1555</v>
      </c>
      <c r="AA181" t="s">
        <v>1198</v>
      </c>
      <c r="AG181" t="s">
        <v>1251</v>
      </c>
      <c r="AI181" t="s">
        <v>61</v>
      </c>
    </row>
    <row r="182" spans="2:35" x14ac:dyDescent="0.3">
      <c r="B182" t="s">
        <v>28</v>
      </c>
      <c r="C182" t="s">
        <v>1556</v>
      </c>
      <c r="D182" t="s">
        <v>1557</v>
      </c>
      <c r="F182" t="s">
        <v>36</v>
      </c>
      <c r="G182" t="s">
        <v>1558</v>
      </c>
      <c r="M182" t="s">
        <v>184</v>
      </c>
      <c r="N182" t="s">
        <v>9</v>
      </c>
      <c r="O182" s="14">
        <v>0</v>
      </c>
      <c r="P182" s="14">
        <v>1</v>
      </c>
      <c r="S182" s="14"/>
      <c r="X182">
        <v>0</v>
      </c>
      <c r="Y182" s="14">
        <v>8.0000000000000004E-4</v>
      </c>
      <c r="Z182" s="14">
        <v>0</v>
      </c>
      <c r="AA182" s="14">
        <v>0</v>
      </c>
      <c r="AG182" t="s">
        <v>1156</v>
      </c>
      <c r="AI182" t="s">
        <v>61</v>
      </c>
    </row>
    <row r="183" spans="2:35" x14ac:dyDescent="0.3">
      <c r="B183" t="s">
        <v>28</v>
      </c>
      <c r="C183" t="s">
        <v>1805</v>
      </c>
      <c r="D183" t="s">
        <v>1559</v>
      </c>
      <c r="F183" t="s">
        <v>37</v>
      </c>
      <c r="G183" t="s">
        <v>1560</v>
      </c>
      <c r="M183" t="s">
        <v>184</v>
      </c>
      <c r="N183" t="s">
        <v>9</v>
      </c>
      <c r="O183" s="14">
        <v>0</v>
      </c>
      <c r="P183" s="14">
        <v>1</v>
      </c>
      <c r="S183" s="14"/>
      <c r="X183">
        <v>0</v>
      </c>
      <c r="Y183" s="14">
        <v>0.37109999999999999</v>
      </c>
      <c r="Z183" s="14">
        <v>0.37119999999999997</v>
      </c>
      <c r="AA183" s="14">
        <v>0</v>
      </c>
      <c r="AG183" t="s">
        <v>1113</v>
      </c>
      <c r="AI183" t="s">
        <v>61</v>
      </c>
    </row>
    <row r="184" spans="2:35" x14ac:dyDescent="0.3">
      <c r="B184" t="s">
        <v>63</v>
      </c>
      <c r="C184" t="s">
        <v>1561</v>
      </c>
      <c r="D184" t="s">
        <v>63</v>
      </c>
      <c r="E184">
        <v>19</v>
      </c>
      <c r="O184" s="14"/>
      <c r="P184" s="14"/>
      <c r="S184" s="14"/>
      <c r="Y184" s="14"/>
      <c r="AI184" t="s">
        <v>61</v>
      </c>
    </row>
    <row r="185" spans="2:35" x14ac:dyDescent="0.3">
      <c r="B185" t="s">
        <v>38</v>
      </c>
      <c r="C185" t="s">
        <v>1562</v>
      </c>
      <c r="D185" t="s">
        <v>1563</v>
      </c>
      <c r="F185" t="s">
        <v>10</v>
      </c>
      <c r="G185" t="s">
        <v>1564</v>
      </c>
      <c r="H185" t="b">
        <v>1</v>
      </c>
      <c r="I185" t="s">
        <v>68</v>
      </c>
      <c r="J185" t="b">
        <v>1</v>
      </c>
      <c r="Y185" t="s">
        <v>62</v>
      </c>
      <c r="AG185" t="s">
        <v>1565</v>
      </c>
      <c r="AI185" t="s">
        <v>61</v>
      </c>
    </row>
    <row r="186" spans="2:35" x14ac:dyDescent="0.3">
      <c r="B186" t="s">
        <v>38</v>
      </c>
      <c r="C186" t="s">
        <v>1566</v>
      </c>
      <c r="D186" t="s">
        <v>1567</v>
      </c>
      <c r="F186" t="s">
        <v>11</v>
      </c>
      <c r="G186" t="s">
        <v>1568</v>
      </c>
      <c r="H186" t="b">
        <v>1</v>
      </c>
      <c r="I186" t="s">
        <v>68</v>
      </c>
      <c r="J186" t="b">
        <v>1</v>
      </c>
      <c r="Y186" t="s">
        <v>62</v>
      </c>
      <c r="AG186" t="s">
        <v>1569</v>
      </c>
      <c r="AI186" t="s">
        <v>61</v>
      </c>
    </row>
    <row r="187" spans="2:35" x14ac:dyDescent="0.3">
      <c r="B187" t="s">
        <v>38</v>
      </c>
      <c r="C187" t="s">
        <v>1570</v>
      </c>
      <c r="D187" t="s">
        <v>1571</v>
      </c>
      <c r="F187" t="s">
        <v>12</v>
      </c>
      <c r="G187" t="s">
        <v>1572</v>
      </c>
      <c r="H187" t="b">
        <v>1</v>
      </c>
      <c r="I187" t="s">
        <v>68</v>
      </c>
      <c r="J187" t="b">
        <v>1</v>
      </c>
      <c r="Y187" t="s">
        <v>62</v>
      </c>
      <c r="AG187" t="s">
        <v>1573</v>
      </c>
      <c r="AI187" t="s">
        <v>61</v>
      </c>
    </row>
    <row r="188" spans="2:35" x14ac:dyDescent="0.3">
      <c r="B188" t="s">
        <v>38</v>
      </c>
      <c r="C188" t="s">
        <v>1574</v>
      </c>
      <c r="D188" t="s">
        <v>1575</v>
      </c>
      <c r="F188" t="s">
        <v>14</v>
      </c>
      <c r="G188" t="s">
        <v>1576</v>
      </c>
      <c r="H188" t="b">
        <v>0</v>
      </c>
      <c r="I188" t="s">
        <v>13</v>
      </c>
      <c r="J188" t="b">
        <v>0</v>
      </c>
      <c r="Y188" t="s">
        <v>62</v>
      </c>
      <c r="AG188" t="s">
        <v>1577</v>
      </c>
      <c r="AI188" t="s">
        <v>61</v>
      </c>
    </row>
    <row r="189" spans="2:35" x14ac:dyDescent="0.3">
      <c r="B189" t="s">
        <v>38</v>
      </c>
      <c r="C189" t="s">
        <v>1578</v>
      </c>
      <c r="D189" t="s">
        <v>1579</v>
      </c>
      <c r="F189" t="s">
        <v>15</v>
      </c>
      <c r="G189" t="s">
        <v>1580</v>
      </c>
      <c r="H189" t="b">
        <v>1</v>
      </c>
      <c r="I189" t="s">
        <v>68</v>
      </c>
      <c r="J189" t="b">
        <v>1</v>
      </c>
      <c r="Y189" t="s">
        <v>62</v>
      </c>
      <c r="AG189" t="s">
        <v>1577</v>
      </c>
      <c r="AI189" t="s">
        <v>61</v>
      </c>
    </row>
    <row r="190" spans="2:35" x14ac:dyDescent="0.3">
      <c r="B190" t="s">
        <v>38</v>
      </c>
      <c r="C190" t="s">
        <v>1581</v>
      </c>
      <c r="D190" t="s">
        <v>1582</v>
      </c>
      <c r="F190" t="s">
        <v>16</v>
      </c>
      <c r="G190" t="s">
        <v>1583</v>
      </c>
      <c r="H190" t="b">
        <v>1</v>
      </c>
      <c r="I190" t="s">
        <v>68</v>
      </c>
      <c r="J190" t="b">
        <v>1</v>
      </c>
      <c r="Y190" t="s">
        <v>62</v>
      </c>
      <c r="AG190" t="s">
        <v>1317</v>
      </c>
      <c r="AI190" t="s">
        <v>61</v>
      </c>
    </row>
    <row r="191" spans="2:35" x14ac:dyDescent="0.3">
      <c r="B191" t="s">
        <v>38</v>
      </c>
      <c r="C191" t="s">
        <v>1584</v>
      </c>
      <c r="D191" t="s">
        <v>1582</v>
      </c>
      <c r="F191" t="s">
        <v>18</v>
      </c>
      <c r="G191" t="s">
        <v>1585</v>
      </c>
      <c r="H191" t="b">
        <v>1</v>
      </c>
      <c r="I191" t="s">
        <v>68</v>
      </c>
      <c r="J191" t="b">
        <v>1</v>
      </c>
      <c r="Y191" t="s">
        <v>62</v>
      </c>
      <c r="AG191" t="s">
        <v>1320</v>
      </c>
      <c r="AI191" t="s">
        <v>61</v>
      </c>
    </row>
    <row r="192" spans="2:35" x14ac:dyDescent="0.3">
      <c r="B192" t="s">
        <v>38</v>
      </c>
      <c r="C192" t="s">
        <v>1586</v>
      </c>
      <c r="D192" t="s">
        <v>1582</v>
      </c>
      <c r="F192" t="s">
        <v>19</v>
      </c>
      <c r="G192" t="s">
        <v>1587</v>
      </c>
      <c r="H192" t="b">
        <v>1</v>
      </c>
      <c r="I192" t="s">
        <v>68</v>
      </c>
      <c r="J192" t="b">
        <v>1</v>
      </c>
      <c r="Y192" t="s">
        <v>62</v>
      </c>
      <c r="AG192" t="s">
        <v>1323</v>
      </c>
      <c r="AI192" t="s">
        <v>61</v>
      </c>
    </row>
    <row r="193" spans="2:35" x14ac:dyDescent="0.3">
      <c r="B193" t="s">
        <v>38</v>
      </c>
      <c r="C193" t="s">
        <v>1588</v>
      </c>
      <c r="D193" t="s">
        <v>1582</v>
      </c>
      <c r="F193" t="s">
        <v>20</v>
      </c>
      <c r="G193" t="s">
        <v>1589</v>
      </c>
      <c r="H193" t="b">
        <v>1</v>
      </c>
      <c r="I193" t="s">
        <v>68</v>
      </c>
      <c r="J193" t="b">
        <v>1</v>
      </c>
      <c r="Y193" t="s">
        <v>62</v>
      </c>
      <c r="AG193" t="s">
        <v>1326</v>
      </c>
      <c r="AI193" t="s">
        <v>61</v>
      </c>
    </row>
    <row r="194" spans="2:35" x14ac:dyDescent="0.3">
      <c r="B194" t="s">
        <v>38</v>
      </c>
      <c r="C194" t="s">
        <v>1590</v>
      </c>
      <c r="D194" t="s">
        <v>1591</v>
      </c>
      <c r="F194" t="s">
        <v>21</v>
      </c>
      <c r="G194" t="s">
        <v>1592</v>
      </c>
      <c r="H194" t="b">
        <v>0</v>
      </c>
      <c r="I194" t="s">
        <v>13</v>
      </c>
      <c r="J194" t="b">
        <v>0</v>
      </c>
      <c r="Y194" t="s">
        <v>62</v>
      </c>
      <c r="AI194" t="s">
        <v>61</v>
      </c>
    </row>
    <row r="195" spans="2:35" x14ac:dyDescent="0.3">
      <c r="B195" t="s">
        <v>38</v>
      </c>
      <c r="C195" t="s">
        <v>1593</v>
      </c>
      <c r="D195" t="s">
        <v>1594</v>
      </c>
      <c r="F195" t="s">
        <v>22</v>
      </c>
      <c r="G195" t="s">
        <v>1595</v>
      </c>
      <c r="H195" t="b">
        <v>0</v>
      </c>
      <c r="I195" t="s">
        <v>13</v>
      </c>
      <c r="J195" t="b">
        <v>0</v>
      </c>
      <c r="Y195" t="s">
        <v>62</v>
      </c>
      <c r="AI195" t="s">
        <v>61</v>
      </c>
    </row>
    <row r="196" spans="2:35" x14ac:dyDescent="0.3">
      <c r="B196" t="s">
        <v>38</v>
      </c>
      <c r="C196" t="s">
        <v>1596</v>
      </c>
      <c r="D196" t="s">
        <v>1597</v>
      </c>
      <c r="F196" t="s">
        <v>23</v>
      </c>
      <c r="G196" t="s">
        <v>1598</v>
      </c>
      <c r="H196" t="b">
        <v>1</v>
      </c>
      <c r="I196" t="s">
        <v>68</v>
      </c>
      <c r="J196" t="b">
        <v>1</v>
      </c>
      <c r="O196" s="14"/>
      <c r="P196" s="14"/>
      <c r="Y196" s="14" t="s">
        <v>62</v>
      </c>
      <c r="Z196" s="14"/>
      <c r="AA196" s="14"/>
      <c r="AG196" t="s">
        <v>1369</v>
      </c>
      <c r="AI196" t="s">
        <v>61</v>
      </c>
    </row>
    <row r="197" spans="2:35" x14ac:dyDescent="0.3">
      <c r="B197" t="s">
        <v>38</v>
      </c>
      <c r="C197" t="s">
        <v>1599</v>
      </c>
      <c r="D197" t="s">
        <v>1600</v>
      </c>
      <c r="F197" t="s">
        <v>24</v>
      </c>
      <c r="G197" t="s">
        <v>1601</v>
      </c>
      <c r="H197" t="b">
        <v>1</v>
      </c>
      <c r="I197" t="s">
        <v>68</v>
      </c>
      <c r="J197" t="b">
        <v>1</v>
      </c>
      <c r="O197" s="14"/>
      <c r="P197" s="14"/>
      <c r="Y197" s="14" t="s">
        <v>62</v>
      </c>
      <c r="Z197" s="14"/>
      <c r="AA197" s="14"/>
      <c r="AG197" t="s">
        <v>1376</v>
      </c>
      <c r="AI197" t="s">
        <v>61</v>
      </c>
    </row>
    <row r="198" spans="2:35" x14ac:dyDescent="0.3">
      <c r="B198" t="s">
        <v>38</v>
      </c>
      <c r="C198" t="s">
        <v>1602</v>
      </c>
      <c r="D198" t="s">
        <v>1603</v>
      </c>
      <c r="F198" t="s">
        <v>25</v>
      </c>
      <c r="G198" t="s">
        <v>1604</v>
      </c>
      <c r="H198" t="b">
        <v>1</v>
      </c>
      <c r="I198" t="s">
        <v>68</v>
      </c>
      <c r="J198" t="b">
        <v>1</v>
      </c>
      <c r="Y198" t="s">
        <v>62</v>
      </c>
      <c r="AG198" t="s">
        <v>1383</v>
      </c>
      <c r="AI198" t="s">
        <v>61</v>
      </c>
    </row>
    <row r="199" spans="2:35" x14ac:dyDescent="0.3">
      <c r="B199" t="s">
        <v>38</v>
      </c>
      <c r="C199" t="s">
        <v>1806</v>
      </c>
      <c r="D199" t="s">
        <v>1605</v>
      </c>
      <c r="F199" t="s">
        <v>26</v>
      </c>
      <c r="G199" t="s">
        <v>1606</v>
      </c>
      <c r="H199" t="b">
        <v>0</v>
      </c>
      <c r="I199" t="s">
        <v>13</v>
      </c>
      <c r="J199" t="b">
        <v>0</v>
      </c>
      <c r="O199" s="14"/>
      <c r="P199" s="14"/>
      <c r="S199" s="14"/>
      <c r="Y199" s="14" t="s">
        <v>62</v>
      </c>
      <c r="Z199" s="14"/>
      <c r="AA199" s="14"/>
      <c r="AI199" t="s">
        <v>61</v>
      </c>
    </row>
    <row r="200" spans="2:35" x14ac:dyDescent="0.3">
      <c r="B200" t="s">
        <v>38</v>
      </c>
      <c r="C200" t="s">
        <v>1807</v>
      </c>
      <c r="D200" t="s">
        <v>1605</v>
      </c>
      <c r="F200" t="s">
        <v>27</v>
      </c>
      <c r="G200" t="s">
        <v>1607</v>
      </c>
      <c r="H200" t="b">
        <v>0</v>
      </c>
      <c r="I200" t="s">
        <v>13</v>
      </c>
      <c r="J200" t="b">
        <v>0</v>
      </c>
      <c r="O200" s="14"/>
      <c r="P200" s="14"/>
      <c r="S200" s="14"/>
      <c r="Y200" s="14" t="s">
        <v>62</v>
      </c>
      <c r="Z200" s="14"/>
      <c r="AA200" s="14"/>
      <c r="AI200" t="s">
        <v>61</v>
      </c>
    </row>
    <row r="201" spans="2:35" x14ac:dyDescent="0.3">
      <c r="B201" t="s">
        <v>63</v>
      </c>
      <c r="C201" t="s">
        <v>1608</v>
      </c>
      <c r="D201" t="s">
        <v>63</v>
      </c>
      <c r="E201">
        <v>20</v>
      </c>
      <c r="O201" s="14"/>
      <c r="P201" s="14"/>
      <c r="S201" s="14"/>
      <c r="Y201" s="14"/>
      <c r="Z201" s="14"/>
      <c r="AA201" s="14"/>
      <c r="AI201" t="s">
        <v>61</v>
      </c>
    </row>
    <row r="202" spans="2:35" x14ac:dyDescent="0.3">
      <c r="B202" t="s">
        <v>38</v>
      </c>
      <c r="C202" t="s">
        <v>1609</v>
      </c>
      <c r="D202" t="s">
        <v>1610</v>
      </c>
      <c r="F202" t="s">
        <v>10</v>
      </c>
      <c r="G202" t="s">
        <v>1611</v>
      </c>
      <c r="H202" t="b">
        <v>1</v>
      </c>
      <c r="I202" t="s">
        <v>68</v>
      </c>
      <c r="J202" t="b">
        <v>1</v>
      </c>
      <c r="O202" s="14"/>
      <c r="P202" s="14"/>
      <c r="Y202" s="14" t="s">
        <v>62</v>
      </c>
      <c r="Z202" s="14"/>
      <c r="AA202" s="14"/>
      <c r="AG202" t="s">
        <v>1417</v>
      </c>
      <c r="AI202" t="s">
        <v>61</v>
      </c>
    </row>
    <row r="203" spans="2:35" x14ac:dyDescent="0.3">
      <c r="B203" t="s">
        <v>38</v>
      </c>
      <c r="C203" t="s">
        <v>1808</v>
      </c>
      <c r="D203" t="s">
        <v>1612</v>
      </c>
      <c r="F203" t="s">
        <v>11</v>
      </c>
      <c r="G203" t="s">
        <v>1613</v>
      </c>
      <c r="H203" t="b">
        <v>0</v>
      </c>
      <c r="I203" t="s">
        <v>13</v>
      </c>
      <c r="J203" t="b">
        <v>0</v>
      </c>
      <c r="O203" s="14"/>
      <c r="P203" s="14"/>
      <c r="Y203" s="14" t="s">
        <v>62</v>
      </c>
      <c r="Z203" s="14"/>
      <c r="AA203" s="14"/>
      <c r="AI203" t="s">
        <v>61</v>
      </c>
    </row>
    <row r="204" spans="2:35" x14ac:dyDescent="0.3">
      <c r="B204" t="s">
        <v>38</v>
      </c>
      <c r="C204" t="s">
        <v>1809</v>
      </c>
      <c r="D204" t="s">
        <v>1614</v>
      </c>
      <c r="F204" t="s">
        <v>12</v>
      </c>
      <c r="G204" t="s">
        <v>1615</v>
      </c>
      <c r="H204" t="b">
        <v>1</v>
      </c>
      <c r="I204" t="s">
        <v>68</v>
      </c>
      <c r="J204" t="b">
        <v>1</v>
      </c>
      <c r="Y204" t="s">
        <v>62</v>
      </c>
      <c r="AI204" t="s">
        <v>61</v>
      </c>
    </row>
    <row r="205" spans="2:35" x14ac:dyDescent="0.3">
      <c r="B205" t="s">
        <v>38</v>
      </c>
      <c r="C205" t="s">
        <v>1810</v>
      </c>
      <c r="D205" t="s">
        <v>1616</v>
      </c>
      <c r="F205" t="s">
        <v>14</v>
      </c>
      <c r="G205" t="s">
        <v>1617</v>
      </c>
      <c r="H205" t="b">
        <v>1</v>
      </c>
      <c r="I205" t="s">
        <v>68</v>
      </c>
      <c r="J205" t="b">
        <v>1</v>
      </c>
      <c r="O205" s="14"/>
      <c r="P205" s="14"/>
      <c r="Y205" s="14" t="s">
        <v>62</v>
      </c>
      <c r="Z205" s="14"/>
      <c r="AA205" s="14"/>
      <c r="AI205" t="s">
        <v>61</v>
      </c>
    </row>
    <row r="206" spans="2:35" x14ac:dyDescent="0.3">
      <c r="B206" t="s">
        <v>38</v>
      </c>
      <c r="C206" t="s">
        <v>1811</v>
      </c>
      <c r="D206" t="s">
        <v>1612</v>
      </c>
      <c r="F206" t="s">
        <v>15</v>
      </c>
      <c r="G206" t="s">
        <v>1618</v>
      </c>
      <c r="H206" t="b">
        <v>0</v>
      </c>
      <c r="I206" t="s">
        <v>13</v>
      </c>
      <c r="J206" t="b">
        <v>0</v>
      </c>
      <c r="O206" s="14"/>
      <c r="P206" s="14"/>
      <c r="Y206" s="14" t="s">
        <v>62</v>
      </c>
      <c r="Z206" s="14"/>
      <c r="AA206" s="14"/>
      <c r="AI206" t="s">
        <v>61</v>
      </c>
    </row>
    <row r="207" spans="2:35" x14ac:dyDescent="0.3">
      <c r="B207" t="s">
        <v>38</v>
      </c>
      <c r="C207" t="s">
        <v>1812</v>
      </c>
      <c r="D207" t="s">
        <v>1614</v>
      </c>
      <c r="F207" t="s">
        <v>16</v>
      </c>
      <c r="G207" t="s">
        <v>1619</v>
      </c>
      <c r="H207" t="b">
        <v>1</v>
      </c>
      <c r="I207" t="s">
        <v>68</v>
      </c>
      <c r="J207" t="b">
        <v>1</v>
      </c>
      <c r="O207" s="14"/>
      <c r="P207" s="14"/>
      <c r="Y207" s="14" t="s">
        <v>62</v>
      </c>
      <c r="Z207" s="14"/>
      <c r="AA207" s="14"/>
      <c r="AI207" t="s">
        <v>61</v>
      </c>
    </row>
    <row r="208" spans="2:35" x14ac:dyDescent="0.3">
      <c r="B208" t="s">
        <v>38</v>
      </c>
      <c r="C208" t="s">
        <v>1813</v>
      </c>
      <c r="D208" t="s">
        <v>1616</v>
      </c>
      <c r="F208" t="s">
        <v>18</v>
      </c>
      <c r="G208" t="s">
        <v>1620</v>
      </c>
      <c r="H208" t="b">
        <v>1</v>
      </c>
      <c r="I208" t="s">
        <v>68</v>
      </c>
      <c r="J208" t="b">
        <v>1</v>
      </c>
      <c r="O208" s="14"/>
      <c r="P208" s="14"/>
      <c r="Y208" s="14" t="s">
        <v>62</v>
      </c>
      <c r="Z208" s="14"/>
      <c r="AA208" s="14"/>
      <c r="AI208" t="s">
        <v>61</v>
      </c>
    </row>
    <row r="209" spans="2:35" x14ac:dyDescent="0.3">
      <c r="B209" t="s">
        <v>38</v>
      </c>
      <c r="C209" t="s">
        <v>1621</v>
      </c>
      <c r="D209" t="s">
        <v>1622</v>
      </c>
      <c r="F209" t="s">
        <v>19</v>
      </c>
      <c r="G209" t="s">
        <v>1623</v>
      </c>
      <c r="H209" t="b">
        <v>1</v>
      </c>
      <c r="I209" t="s">
        <v>68</v>
      </c>
      <c r="J209" t="b">
        <v>1</v>
      </c>
      <c r="O209" s="14"/>
      <c r="P209" s="14"/>
      <c r="Y209" s="14" t="s">
        <v>62</v>
      </c>
      <c r="Z209" s="14"/>
      <c r="AA209" s="14"/>
      <c r="AG209" t="s">
        <v>1427</v>
      </c>
      <c r="AI209" t="s">
        <v>61</v>
      </c>
    </row>
    <row r="210" spans="2:35" x14ac:dyDescent="0.3">
      <c r="B210" t="s">
        <v>38</v>
      </c>
      <c r="C210" t="s">
        <v>1624</v>
      </c>
      <c r="D210" t="s">
        <v>1625</v>
      </c>
      <c r="F210" t="s">
        <v>20</v>
      </c>
      <c r="G210" t="s">
        <v>1626</v>
      </c>
      <c r="H210" t="b">
        <v>0</v>
      </c>
      <c r="I210" t="s">
        <v>13</v>
      </c>
      <c r="J210" t="b">
        <v>0</v>
      </c>
      <c r="O210" s="14"/>
      <c r="P210" s="14"/>
      <c r="Y210" s="14" t="s">
        <v>62</v>
      </c>
      <c r="Z210" s="14"/>
      <c r="AA210" s="14"/>
      <c r="AI210" t="s">
        <v>61</v>
      </c>
    </row>
    <row r="211" spans="2:35" x14ac:dyDescent="0.3">
      <c r="B211" t="s">
        <v>38</v>
      </c>
      <c r="C211" t="s">
        <v>1627</v>
      </c>
      <c r="D211" t="s">
        <v>1628</v>
      </c>
      <c r="F211" t="s">
        <v>21</v>
      </c>
      <c r="G211" t="s">
        <v>1629</v>
      </c>
      <c r="H211" t="b">
        <v>1</v>
      </c>
      <c r="I211" t="s">
        <v>68</v>
      </c>
      <c r="J211" t="b">
        <v>1</v>
      </c>
      <c r="O211" s="14"/>
      <c r="P211" s="14"/>
      <c r="Y211" s="14" t="s">
        <v>69</v>
      </c>
      <c r="Z211" s="14"/>
      <c r="AA211" s="14"/>
      <c r="AI211" t="s">
        <v>61</v>
      </c>
    </row>
    <row r="212" spans="2:35" x14ac:dyDescent="0.3">
      <c r="B212" t="s">
        <v>38</v>
      </c>
      <c r="C212" t="s">
        <v>1630</v>
      </c>
      <c r="D212" t="s">
        <v>1631</v>
      </c>
      <c r="F212" t="s">
        <v>22</v>
      </c>
      <c r="G212" t="s">
        <v>1632</v>
      </c>
      <c r="H212" t="b">
        <v>1</v>
      </c>
      <c r="I212" t="s">
        <v>68</v>
      </c>
      <c r="J212" t="b">
        <v>1</v>
      </c>
      <c r="O212" s="14"/>
      <c r="P212" s="14"/>
      <c r="Y212" s="14" t="s">
        <v>62</v>
      </c>
      <c r="Z212" s="14"/>
      <c r="AA212" s="14"/>
      <c r="AG212" t="s">
        <v>1446</v>
      </c>
      <c r="AI212" t="s">
        <v>61</v>
      </c>
    </row>
    <row r="213" spans="2:35" x14ac:dyDescent="0.3">
      <c r="B213" t="s">
        <v>38</v>
      </c>
      <c r="C213" t="s">
        <v>1633</v>
      </c>
      <c r="D213" t="s">
        <v>1634</v>
      </c>
      <c r="F213" t="s">
        <v>23</v>
      </c>
      <c r="G213" t="s">
        <v>1635</v>
      </c>
      <c r="H213" t="b">
        <v>1</v>
      </c>
      <c r="I213" t="s">
        <v>68</v>
      </c>
      <c r="J213" t="b">
        <v>1</v>
      </c>
      <c r="Y213" t="s">
        <v>62</v>
      </c>
      <c r="AG213" t="s">
        <v>1450</v>
      </c>
      <c r="AI213" t="s">
        <v>61</v>
      </c>
    </row>
    <row r="214" spans="2:35" x14ac:dyDescent="0.3">
      <c r="B214" t="s">
        <v>38</v>
      </c>
      <c r="C214" t="s">
        <v>1636</v>
      </c>
      <c r="D214" t="s">
        <v>1637</v>
      </c>
      <c r="F214" t="s">
        <v>24</v>
      </c>
      <c r="G214" t="s">
        <v>1638</v>
      </c>
      <c r="H214" t="b">
        <v>1</v>
      </c>
      <c r="I214" t="s">
        <v>68</v>
      </c>
      <c r="J214" t="b">
        <v>1</v>
      </c>
      <c r="O214" s="14"/>
      <c r="P214" s="14"/>
      <c r="Y214" s="14" t="s">
        <v>62</v>
      </c>
      <c r="Z214" s="14"/>
      <c r="AA214" s="14"/>
      <c r="AG214" t="s">
        <v>1473</v>
      </c>
      <c r="AI214" t="s">
        <v>61</v>
      </c>
    </row>
    <row r="215" spans="2:35" x14ac:dyDescent="0.3">
      <c r="B215" t="s">
        <v>38</v>
      </c>
      <c r="C215" t="s">
        <v>1639</v>
      </c>
      <c r="D215" t="s">
        <v>1640</v>
      </c>
      <c r="F215" t="s">
        <v>25</v>
      </c>
      <c r="G215" t="s">
        <v>1641</v>
      </c>
      <c r="H215" t="b">
        <v>1</v>
      </c>
      <c r="I215" t="s">
        <v>68</v>
      </c>
      <c r="J215" t="b">
        <v>1</v>
      </c>
      <c r="O215" s="14"/>
      <c r="P215" s="14"/>
      <c r="Y215" s="14" t="s">
        <v>62</v>
      </c>
      <c r="Z215" s="14"/>
      <c r="AA215" s="14"/>
      <c r="AG215" t="s">
        <v>1504</v>
      </c>
      <c r="AI215" t="s">
        <v>61</v>
      </c>
    </row>
    <row r="216" spans="2:35" x14ac:dyDescent="0.3">
      <c r="B216" t="s">
        <v>38</v>
      </c>
      <c r="C216" t="s">
        <v>1642</v>
      </c>
      <c r="D216" t="s">
        <v>1640</v>
      </c>
      <c r="F216" t="s">
        <v>26</v>
      </c>
      <c r="G216" t="s">
        <v>1643</v>
      </c>
      <c r="H216" t="b">
        <v>1</v>
      </c>
      <c r="I216" t="s">
        <v>68</v>
      </c>
      <c r="J216" t="b">
        <v>1</v>
      </c>
      <c r="O216" s="14"/>
      <c r="P216" s="14"/>
      <c r="Y216" s="14" t="s">
        <v>69</v>
      </c>
      <c r="Z216" s="14"/>
      <c r="AA216" s="14"/>
      <c r="AG216" t="s">
        <v>1506</v>
      </c>
      <c r="AI216" t="s">
        <v>61</v>
      </c>
    </row>
    <row r="217" spans="2:35" x14ac:dyDescent="0.3">
      <c r="B217" t="s">
        <v>38</v>
      </c>
      <c r="C217" t="s">
        <v>1814</v>
      </c>
      <c r="D217" t="s">
        <v>1815</v>
      </c>
      <c r="F217" t="s">
        <v>27</v>
      </c>
      <c r="H217" t="b">
        <v>0</v>
      </c>
      <c r="I217" t="s">
        <v>13</v>
      </c>
      <c r="J217" t="b">
        <v>0</v>
      </c>
      <c r="O217" s="14"/>
      <c r="P217" s="14"/>
      <c r="Y217" s="14" t="s">
        <v>69</v>
      </c>
      <c r="Z217" s="14"/>
      <c r="AA217" s="14"/>
      <c r="AI217" t="s">
        <v>61</v>
      </c>
    </row>
    <row r="218" spans="2:35" x14ac:dyDescent="0.3">
      <c r="B218" t="s">
        <v>64</v>
      </c>
      <c r="C218" t="s">
        <v>1644</v>
      </c>
      <c r="D218" t="s">
        <v>64</v>
      </c>
      <c r="E218">
        <v>21</v>
      </c>
      <c r="O218" s="14"/>
      <c r="P218" s="14"/>
      <c r="S218" s="14"/>
      <c r="Y218" s="14"/>
      <c r="Z218" s="14"/>
      <c r="AA218" s="14"/>
      <c r="AI218" t="s">
        <v>61</v>
      </c>
    </row>
    <row r="219" spans="2:35" x14ac:dyDescent="0.3">
      <c r="B219" t="s">
        <v>40</v>
      </c>
      <c r="C219" t="s">
        <v>1645</v>
      </c>
      <c r="D219" t="s">
        <v>1646</v>
      </c>
      <c r="F219" t="s">
        <v>29</v>
      </c>
      <c r="G219" t="s">
        <v>1647</v>
      </c>
      <c r="H219" t="b">
        <v>0</v>
      </c>
      <c r="O219" s="14"/>
      <c r="P219" s="14"/>
      <c r="S219" s="14"/>
      <c r="Y219" s="14" t="s">
        <v>62</v>
      </c>
      <c r="Z219" s="14" t="s">
        <v>62</v>
      </c>
      <c r="AA219" s="14" t="s">
        <v>62</v>
      </c>
      <c r="AI219" t="s">
        <v>61</v>
      </c>
    </row>
    <row r="220" spans="2:35" x14ac:dyDescent="0.3">
      <c r="B220" t="s">
        <v>40</v>
      </c>
      <c r="C220" t="s">
        <v>1648</v>
      </c>
      <c r="D220" t="s">
        <v>1649</v>
      </c>
      <c r="F220" t="s">
        <v>30</v>
      </c>
      <c r="G220" t="s">
        <v>1650</v>
      </c>
      <c r="H220" t="b">
        <v>0</v>
      </c>
      <c r="O220" s="14"/>
      <c r="P220" s="14"/>
      <c r="Y220" s="14" t="s">
        <v>62</v>
      </c>
      <c r="Z220" s="14" t="s">
        <v>62</v>
      </c>
      <c r="AA220" s="14" t="s">
        <v>62</v>
      </c>
      <c r="AI220" t="s">
        <v>61</v>
      </c>
    </row>
    <row r="221" spans="2:35" x14ac:dyDescent="0.3">
      <c r="B221" t="s">
        <v>40</v>
      </c>
      <c r="C221" t="s">
        <v>1651</v>
      </c>
      <c r="D221" t="s">
        <v>1652</v>
      </c>
      <c r="F221" t="s">
        <v>31</v>
      </c>
      <c r="G221" t="s">
        <v>1653</v>
      </c>
      <c r="H221" t="b">
        <v>0</v>
      </c>
      <c r="O221" s="14"/>
      <c r="P221" s="14"/>
      <c r="Y221" s="14" t="s">
        <v>62</v>
      </c>
      <c r="Z221" s="14" t="s">
        <v>62</v>
      </c>
      <c r="AA221" s="14" t="s">
        <v>62</v>
      </c>
      <c r="AI221" t="s">
        <v>61</v>
      </c>
    </row>
    <row r="222" spans="2:35" x14ac:dyDescent="0.3">
      <c r="B222" t="s">
        <v>40</v>
      </c>
      <c r="C222" t="s">
        <v>1654</v>
      </c>
      <c r="D222" t="s">
        <v>1655</v>
      </c>
      <c r="F222" t="s">
        <v>32</v>
      </c>
      <c r="G222" t="s">
        <v>1656</v>
      </c>
      <c r="H222" t="b">
        <v>0</v>
      </c>
      <c r="Y222" t="s">
        <v>69</v>
      </c>
      <c r="Z222" t="s">
        <v>69</v>
      </c>
      <c r="AA222" t="s">
        <v>62</v>
      </c>
      <c r="AI222" t="s">
        <v>61</v>
      </c>
    </row>
    <row r="223" spans="2:35" x14ac:dyDescent="0.3">
      <c r="B223" t="s">
        <v>40</v>
      </c>
      <c r="C223" t="s">
        <v>1657</v>
      </c>
      <c r="D223" t="s">
        <v>1658</v>
      </c>
      <c r="F223" t="s">
        <v>33</v>
      </c>
      <c r="G223" t="s">
        <v>1659</v>
      </c>
      <c r="H223" t="b">
        <v>0</v>
      </c>
      <c r="Y223" t="s">
        <v>62</v>
      </c>
      <c r="Z223" t="s">
        <v>62</v>
      </c>
      <c r="AA223" t="s">
        <v>62</v>
      </c>
      <c r="AG223" t="s">
        <v>1660</v>
      </c>
      <c r="AI223" t="s">
        <v>61</v>
      </c>
    </row>
    <row r="224" spans="2:35" x14ac:dyDescent="0.3">
      <c r="B224" t="s">
        <v>40</v>
      </c>
      <c r="C224" t="s">
        <v>1661</v>
      </c>
      <c r="D224" t="s">
        <v>1662</v>
      </c>
      <c r="F224" t="s">
        <v>35</v>
      </c>
      <c r="G224" t="s">
        <v>1663</v>
      </c>
      <c r="H224" t="b">
        <v>0</v>
      </c>
      <c r="Y224" t="s">
        <v>69</v>
      </c>
      <c r="Z224" t="s">
        <v>69</v>
      </c>
      <c r="AA224" t="s">
        <v>62</v>
      </c>
      <c r="AG224" t="s">
        <v>1664</v>
      </c>
      <c r="AI224" t="s">
        <v>61</v>
      </c>
    </row>
    <row r="225" spans="2:35" x14ac:dyDescent="0.3">
      <c r="B225" t="s">
        <v>40</v>
      </c>
      <c r="C225" t="s">
        <v>1816</v>
      </c>
      <c r="D225" t="s">
        <v>1665</v>
      </c>
      <c r="F225" t="s">
        <v>36</v>
      </c>
      <c r="G225" t="s">
        <v>1666</v>
      </c>
      <c r="H225" t="b">
        <v>0</v>
      </c>
      <c r="O225" s="14"/>
      <c r="P225" s="14"/>
      <c r="S225" s="14"/>
      <c r="Y225" s="14" t="s">
        <v>62</v>
      </c>
      <c r="Z225" t="s">
        <v>62</v>
      </c>
      <c r="AA225" t="s">
        <v>62</v>
      </c>
      <c r="AI225" t="s">
        <v>61</v>
      </c>
    </row>
    <row r="226" spans="2:35" x14ac:dyDescent="0.3">
      <c r="B226" t="s">
        <v>40</v>
      </c>
      <c r="C226" t="s">
        <v>1817</v>
      </c>
      <c r="D226" t="s">
        <v>1665</v>
      </c>
      <c r="F226" t="s">
        <v>37</v>
      </c>
      <c r="G226" t="s">
        <v>1667</v>
      </c>
      <c r="H226" t="b">
        <v>1</v>
      </c>
      <c r="O226" s="14"/>
      <c r="P226" s="14"/>
      <c r="S226" s="14"/>
      <c r="Y226" s="14" t="s">
        <v>62</v>
      </c>
      <c r="Z226" t="s">
        <v>62</v>
      </c>
      <c r="AA226" t="s">
        <v>62</v>
      </c>
      <c r="AI226" t="s">
        <v>61</v>
      </c>
    </row>
    <row r="227" spans="2:35" x14ac:dyDescent="0.3">
      <c r="B227" t="s">
        <v>40</v>
      </c>
      <c r="C227" t="s">
        <v>1668</v>
      </c>
      <c r="D227" t="s">
        <v>1669</v>
      </c>
      <c r="F227" t="s">
        <v>41</v>
      </c>
      <c r="G227" t="s">
        <v>1670</v>
      </c>
      <c r="H227" t="b">
        <v>0</v>
      </c>
      <c r="O227" s="14"/>
      <c r="P227" s="14"/>
      <c r="S227" s="14"/>
      <c r="Y227" s="14" t="s">
        <v>62</v>
      </c>
      <c r="Z227" t="s">
        <v>62</v>
      </c>
      <c r="AA227" t="s">
        <v>62</v>
      </c>
      <c r="AG227" t="s">
        <v>1671</v>
      </c>
      <c r="AI227" t="s">
        <v>61</v>
      </c>
    </row>
    <row r="228" spans="2:35" x14ac:dyDescent="0.3">
      <c r="B228" t="s">
        <v>40</v>
      </c>
      <c r="C228" t="s">
        <v>1672</v>
      </c>
      <c r="D228" t="s">
        <v>1673</v>
      </c>
      <c r="F228" t="s">
        <v>42</v>
      </c>
      <c r="G228" t="s">
        <v>1674</v>
      </c>
      <c r="H228" t="b">
        <v>0</v>
      </c>
      <c r="O228" s="14"/>
      <c r="P228" s="14"/>
      <c r="S228" s="14"/>
      <c r="Y228" s="14" t="s">
        <v>62</v>
      </c>
      <c r="Z228" t="s">
        <v>62</v>
      </c>
      <c r="AA228" t="s">
        <v>62</v>
      </c>
      <c r="AI228" t="s">
        <v>61</v>
      </c>
    </row>
    <row r="229" spans="2:35" x14ac:dyDescent="0.3">
      <c r="B229" t="s">
        <v>40</v>
      </c>
      <c r="C229" t="s">
        <v>1675</v>
      </c>
      <c r="D229" t="s">
        <v>1676</v>
      </c>
      <c r="F229" t="s">
        <v>43</v>
      </c>
      <c r="G229" t="s">
        <v>1677</v>
      </c>
      <c r="H229" t="b">
        <v>0</v>
      </c>
      <c r="O229" s="14"/>
      <c r="P229" s="14"/>
      <c r="S229" s="14"/>
      <c r="Y229" s="14" t="s">
        <v>62</v>
      </c>
      <c r="Z229" t="s">
        <v>62</v>
      </c>
      <c r="AA229" t="s">
        <v>62</v>
      </c>
      <c r="AI229" t="s">
        <v>61</v>
      </c>
    </row>
    <row r="230" spans="2:35" x14ac:dyDescent="0.3">
      <c r="B230" t="s">
        <v>40</v>
      </c>
      <c r="C230" t="s">
        <v>1678</v>
      </c>
      <c r="D230" t="s">
        <v>1679</v>
      </c>
      <c r="F230" t="s">
        <v>44</v>
      </c>
      <c r="G230" t="s">
        <v>1680</v>
      </c>
      <c r="H230" t="b">
        <v>0</v>
      </c>
      <c r="O230" s="14"/>
      <c r="P230" s="14"/>
      <c r="S230" s="14"/>
      <c r="Y230" s="14" t="s">
        <v>62</v>
      </c>
      <c r="Z230" t="s">
        <v>62</v>
      </c>
      <c r="AA230" t="s">
        <v>62</v>
      </c>
      <c r="AI230" t="s">
        <v>61</v>
      </c>
    </row>
    <row r="231" spans="2:35" x14ac:dyDescent="0.3">
      <c r="B231" t="s">
        <v>64</v>
      </c>
      <c r="C231" t="s">
        <v>1681</v>
      </c>
      <c r="D231" t="s">
        <v>64</v>
      </c>
      <c r="E231">
        <v>22</v>
      </c>
      <c r="O231" s="14"/>
      <c r="P231" s="14"/>
      <c r="Y231" s="14"/>
      <c r="Z231" s="14"/>
      <c r="AA231" s="14"/>
      <c r="AI231" t="s">
        <v>61</v>
      </c>
    </row>
    <row r="232" spans="2:35" x14ac:dyDescent="0.3">
      <c r="B232" t="s">
        <v>40</v>
      </c>
      <c r="C232" t="s">
        <v>1682</v>
      </c>
      <c r="D232" t="s">
        <v>1683</v>
      </c>
      <c r="F232" t="s">
        <v>29</v>
      </c>
      <c r="G232" t="s">
        <v>1684</v>
      </c>
      <c r="H232" t="b">
        <v>0</v>
      </c>
      <c r="O232" s="14"/>
      <c r="P232" s="14"/>
      <c r="Y232" s="14" t="s">
        <v>62</v>
      </c>
      <c r="Z232" s="14" t="s">
        <v>62</v>
      </c>
      <c r="AA232" s="14" t="s">
        <v>62</v>
      </c>
      <c r="AG232" t="s">
        <v>1685</v>
      </c>
      <c r="AI232" t="s">
        <v>61</v>
      </c>
    </row>
    <row r="233" spans="2:35" x14ac:dyDescent="0.3">
      <c r="B233" t="s">
        <v>40</v>
      </c>
      <c r="C233" t="s">
        <v>1686</v>
      </c>
      <c r="D233" t="s">
        <v>1687</v>
      </c>
      <c r="F233" t="s">
        <v>30</v>
      </c>
      <c r="G233" t="s">
        <v>1688</v>
      </c>
      <c r="H233" t="b">
        <v>0</v>
      </c>
      <c r="O233" s="14"/>
      <c r="P233" s="14"/>
      <c r="Y233" s="14" t="s">
        <v>62</v>
      </c>
      <c r="Z233" s="14" t="s">
        <v>62</v>
      </c>
      <c r="AA233" s="14" t="s">
        <v>62</v>
      </c>
      <c r="AG233" t="s">
        <v>1689</v>
      </c>
      <c r="AI233" t="s">
        <v>61</v>
      </c>
    </row>
    <row r="234" spans="2:35" x14ac:dyDescent="0.3">
      <c r="B234" t="s">
        <v>40</v>
      </c>
      <c r="C234" t="s">
        <v>1690</v>
      </c>
      <c r="D234" t="s">
        <v>1691</v>
      </c>
      <c r="F234" t="s">
        <v>31</v>
      </c>
      <c r="G234" t="s">
        <v>1692</v>
      </c>
      <c r="H234" t="b">
        <v>0</v>
      </c>
      <c r="Y234" t="s">
        <v>62</v>
      </c>
      <c r="Z234" t="s">
        <v>62</v>
      </c>
      <c r="AA234" t="s">
        <v>62</v>
      </c>
      <c r="AG234" t="s">
        <v>1693</v>
      </c>
      <c r="AI234" t="s">
        <v>61</v>
      </c>
    </row>
    <row r="235" spans="2:35" x14ac:dyDescent="0.3">
      <c r="B235" t="s">
        <v>40</v>
      </c>
      <c r="C235" t="s">
        <v>1694</v>
      </c>
      <c r="D235" t="s">
        <v>1695</v>
      </c>
      <c r="F235" t="s">
        <v>32</v>
      </c>
      <c r="G235" t="s">
        <v>1696</v>
      </c>
      <c r="H235" t="b">
        <v>0</v>
      </c>
      <c r="Y235" t="s">
        <v>69</v>
      </c>
      <c r="Z235" t="s">
        <v>69</v>
      </c>
      <c r="AA235" t="s">
        <v>62</v>
      </c>
      <c r="AG235" t="s">
        <v>1697</v>
      </c>
      <c r="AI235" t="s">
        <v>61</v>
      </c>
    </row>
    <row r="236" spans="2:35" x14ac:dyDescent="0.3">
      <c r="B236" t="s">
        <v>40</v>
      </c>
      <c r="C236" t="s">
        <v>1698</v>
      </c>
      <c r="D236" t="s">
        <v>1699</v>
      </c>
      <c r="F236" t="s">
        <v>33</v>
      </c>
      <c r="G236" t="s">
        <v>1700</v>
      </c>
      <c r="H236" t="b">
        <v>0</v>
      </c>
      <c r="Y236" t="s">
        <v>62</v>
      </c>
      <c r="Z236" t="s">
        <v>62</v>
      </c>
      <c r="AA236" t="s">
        <v>62</v>
      </c>
      <c r="AG236" t="s">
        <v>1701</v>
      </c>
      <c r="AI236" t="s">
        <v>61</v>
      </c>
    </row>
    <row r="237" spans="2:35" x14ac:dyDescent="0.3">
      <c r="B237" t="s">
        <v>40</v>
      </c>
      <c r="C237" t="s">
        <v>1702</v>
      </c>
      <c r="D237" t="s">
        <v>1703</v>
      </c>
      <c r="F237" t="s">
        <v>35</v>
      </c>
      <c r="G237" t="s">
        <v>1704</v>
      </c>
      <c r="H237" t="b">
        <v>0</v>
      </c>
      <c r="Y237" t="s">
        <v>62</v>
      </c>
      <c r="Z237" t="s">
        <v>62</v>
      </c>
      <c r="AA237" t="s">
        <v>62</v>
      </c>
      <c r="AG237" t="s">
        <v>1705</v>
      </c>
      <c r="AI237" t="s">
        <v>61</v>
      </c>
    </row>
    <row r="238" spans="2:35" x14ac:dyDescent="0.3">
      <c r="B238" t="s">
        <v>40</v>
      </c>
      <c r="C238" t="s">
        <v>1706</v>
      </c>
      <c r="D238" t="s">
        <v>1707</v>
      </c>
      <c r="F238" t="s">
        <v>36</v>
      </c>
      <c r="G238" t="s">
        <v>1708</v>
      </c>
      <c r="H238" t="b">
        <v>0</v>
      </c>
      <c r="Y238" t="s">
        <v>62</v>
      </c>
      <c r="Z238" t="s">
        <v>62</v>
      </c>
      <c r="AA238" t="s">
        <v>62</v>
      </c>
      <c r="AG238" t="s">
        <v>1709</v>
      </c>
      <c r="AI238" t="s">
        <v>61</v>
      </c>
    </row>
    <row r="239" spans="2:35" x14ac:dyDescent="0.3">
      <c r="B239" t="s">
        <v>40</v>
      </c>
      <c r="C239" t="s">
        <v>1710</v>
      </c>
      <c r="D239" t="s">
        <v>1711</v>
      </c>
      <c r="F239" t="s">
        <v>37</v>
      </c>
      <c r="G239" t="s">
        <v>1712</v>
      </c>
      <c r="H239" t="b">
        <v>0</v>
      </c>
      <c r="Y239" t="s">
        <v>62</v>
      </c>
      <c r="Z239" t="s">
        <v>62</v>
      </c>
      <c r="AA239" t="s">
        <v>62</v>
      </c>
      <c r="AG239" t="s">
        <v>1713</v>
      </c>
      <c r="AI239" t="s">
        <v>61</v>
      </c>
    </row>
    <row r="240" spans="2:35" x14ac:dyDescent="0.3">
      <c r="B240" t="s">
        <v>40</v>
      </c>
      <c r="C240" t="s">
        <v>1714</v>
      </c>
      <c r="D240" t="s">
        <v>1715</v>
      </c>
      <c r="F240" t="s">
        <v>41</v>
      </c>
      <c r="G240" t="s">
        <v>1716</v>
      </c>
      <c r="H240" t="b">
        <v>0</v>
      </c>
      <c r="Y240" t="s">
        <v>69</v>
      </c>
      <c r="Z240" t="s">
        <v>69</v>
      </c>
      <c r="AA240" t="s">
        <v>62</v>
      </c>
      <c r="AG240" t="s">
        <v>1717</v>
      </c>
      <c r="AI240" t="s">
        <v>61</v>
      </c>
    </row>
    <row r="241" spans="2:35" x14ac:dyDescent="0.3">
      <c r="B241" t="s">
        <v>40</v>
      </c>
      <c r="C241" t="s">
        <v>1718</v>
      </c>
      <c r="D241" t="s">
        <v>1719</v>
      </c>
      <c r="F241" t="s">
        <v>42</v>
      </c>
      <c r="G241" t="s">
        <v>1720</v>
      </c>
      <c r="H241" t="b">
        <v>0</v>
      </c>
      <c r="Y241" t="s">
        <v>62</v>
      </c>
      <c r="Z241" t="s">
        <v>62</v>
      </c>
      <c r="AA241" t="s">
        <v>62</v>
      </c>
      <c r="AG241" t="s">
        <v>1721</v>
      </c>
      <c r="AI241" t="s">
        <v>61</v>
      </c>
    </row>
    <row r="242" spans="2:35" x14ac:dyDescent="0.3">
      <c r="B242" t="s">
        <v>40</v>
      </c>
      <c r="C242" t="s">
        <v>1722</v>
      </c>
      <c r="D242" t="s">
        <v>1723</v>
      </c>
      <c r="F242" t="s">
        <v>43</v>
      </c>
      <c r="G242" t="s">
        <v>1724</v>
      </c>
      <c r="H242" t="b">
        <v>0</v>
      </c>
      <c r="Y242" t="s">
        <v>69</v>
      </c>
      <c r="Z242" t="s">
        <v>69</v>
      </c>
      <c r="AA242" t="s">
        <v>62</v>
      </c>
      <c r="AG242" t="s">
        <v>1725</v>
      </c>
      <c r="AI242" t="s">
        <v>61</v>
      </c>
    </row>
    <row r="243" spans="2:35" x14ac:dyDescent="0.3">
      <c r="B243" t="s">
        <v>40</v>
      </c>
      <c r="C243" t="s">
        <v>1726</v>
      </c>
      <c r="D243" t="s">
        <v>1727</v>
      </c>
      <c r="F243" t="s">
        <v>44</v>
      </c>
      <c r="G243" t="s">
        <v>1728</v>
      </c>
      <c r="H243" t="b">
        <v>0</v>
      </c>
      <c r="Y243" t="s">
        <v>69</v>
      </c>
      <c r="Z243" t="s">
        <v>69</v>
      </c>
      <c r="AA243" t="s">
        <v>62</v>
      </c>
      <c r="AG243" t="s">
        <v>1729</v>
      </c>
      <c r="AI243" t="s">
        <v>61</v>
      </c>
    </row>
    <row r="327" spans="15:27" x14ac:dyDescent="0.3">
      <c r="O327" s="14"/>
      <c r="P327" s="14"/>
      <c r="Y327" s="14"/>
      <c r="Z327" s="14"/>
      <c r="AA327" s="14"/>
    </row>
    <row r="328" spans="15:27" x14ac:dyDescent="0.3">
      <c r="O328" s="14"/>
      <c r="P328" s="14"/>
      <c r="Y328" s="14"/>
      <c r="Z328" s="14"/>
      <c r="AA328" s="14"/>
    </row>
    <row r="329" spans="15:27" x14ac:dyDescent="0.3">
      <c r="O329" s="14"/>
      <c r="P329" s="14"/>
      <c r="Y329" s="14"/>
      <c r="Z329" s="14"/>
      <c r="AA329" s="14"/>
    </row>
    <row r="330" spans="15:27" x14ac:dyDescent="0.3">
      <c r="O330" s="14"/>
      <c r="P330" s="14"/>
      <c r="Y330" s="14"/>
      <c r="Z330" s="14"/>
      <c r="AA330" s="14"/>
    </row>
    <row r="331" spans="15:27" x14ac:dyDescent="0.3">
      <c r="O331" s="14"/>
      <c r="P331" s="14"/>
      <c r="Y331" s="14"/>
      <c r="Z331" s="14"/>
      <c r="AA331" s="14"/>
    </row>
    <row r="332" spans="15:27" x14ac:dyDescent="0.3">
      <c r="O332" s="14"/>
      <c r="P332" s="14"/>
      <c r="Y332" s="14"/>
      <c r="Z332" s="14"/>
      <c r="AA332" s="14"/>
    </row>
    <row r="333" spans="15:27" x14ac:dyDescent="0.3">
      <c r="O333" s="14"/>
      <c r="P333" s="14"/>
      <c r="Y333" s="14"/>
      <c r="Z333" s="14"/>
      <c r="AA333" s="14"/>
    </row>
    <row r="334" spans="15:27" x14ac:dyDescent="0.3">
      <c r="O334" s="14"/>
      <c r="P334" s="14"/>
      <c r="Y334" s="14"/>
      <c r="Z334" s="14"/>
      <c r="AA334" s="14"/>
    </row>
    <row r="336" spans="15:27" x14ac:dyDescent="0.3">
      <c r="O336" s="14"/>
      <c r="P336" s="14"/>
      <c r="Y336" s="14"/>
      <c r="Z336" s="14"/>
      <c r="AA336" s="14"/>
    </row>
    <row r="337" spans="15:27" x14ac:dyDescent="0.3">
      <c r="O337" s="14"/>
      <c r="P337" s="14"/>
      <c r="Y337" s="14"/>
      <c r="Z337" s="14"/>
      <c r="AA337" s="14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8FD5-E692-46B3-B858-4D8FFF526913}">
  <dimension ref="B1:AI415"/>
  <sheetViews>
    <sheetView workbookViewId="0"/>
  </sheetViews>
  <sheetFormatPr baseColWidth="10" defaultRowHeight="14.4" x14ac:dyDescent="0.3"/>
  <cols>
    <col min="2" max="2" width="18.5546875" bestFit="1" customWidth="1"/>
    <col min="3" max="3" width="27.109375" bestFit="1" customWidth="1"/>
    <col min="4" max="4" width="40.88671875" bestFit="1" customWidth="1"/>
    <col min="7" max="7" width="32.109375" customWidth="1"/>
    <col min="8" max="8" width="7.5546875" bestFit="1" customWidth="1"/>
    <col min="9" max="9" width="5.33203125" bestFit="1" customWidth="1"/>
    <col min="10" max="11" width="7.5546875" bestFit="1" customWidth="1"/>
    <col min="12" max="12" width="11.5546875" bestFit="1" customWidth="1"/>
    <col min="13" max="13" width="8" bestFit="1" customWidth="1"/>
  </cols>
  <sheetData>
    <row r="1" spans="2:35" x14ac:dyDescent="0.3">
      <c r="B1" t="s">
        <v>64</v>
      </c>
      <c r="C1" t="s">
        <v>70</v>
      </c>
      <c r="D1" t="s">
        <v>71</v>
      </c>
      <c r="E1">
        <v>3</v>
      </c>
      <c r="AI1" t="s">
        <v>61</v>
      </c>
    </row>
    <row r="2" spans="2:35" x14ac:dyDescent="0.3">
      <c r="B2" t="s">
        <v>40</v>
      </c>
      <c r="C2" t="s">
        <v>72</v>
      </c>
      <c r="D2" t="s">
        <v>882</v>
      </c>
      <c r="F2" t="s">
        <v>29</v>
      </c>
      <c r="G2" t="s">
        <v>73</v>
      </c>
      <c r="H2" t="b">
        <v>0</v>
      </c>
      <c r="Y2" t="s">
        <v>62</v>
      </c>
      <c r="Z2" t="s">
        <v>62</v>
      </c>
      <c r="AA2" t="s">
        <v>62</v>
      </c>
      <c r="AG2" t="s">
        <v>74</v>
      </c>
      <c r="AI2" t="s">
        <v>61</v>
      </c>
    </row>
    <row r="3" spans="2:35" x14ac:dyDescent="0.3">
      <c r="B3" t="s">
        <v>40</v>
      </c>
      <c r="C3" t="s">
        <v>75</v>
      </c>
      <c r="D3" t="s">
        <v>978</v>
      </c>
      <c r="F3" t="s">
        <v>30</v>
      </c>
      <c r="G3" t="s">
        <v>76</v>
      </c>
      <c r="H3" t="b">
        <v>0</v>
      </c>
      <c r="Y3" t="s">
        <v>62</v>
      </c>
      <c r="Z3" t="s">
        <v>62</v>
      </c>
      <c r="AA3" t="s">
        <v>62</v>
      </c>
      <c r="AG3" t="s">
        <v>77</v>
      </c>
      <c r="AI3" t="s">
        <v>61</v>
      </c>
    </row>
    <row r="4" spans="2:35" x14ac:dyDescent="0.3">
      <c r="B4" t="s">
        <v>40</v>
      </c>
      <c r="C4" t="s">
        <v>78</v>
      </c>
      <c r="D4" t="s">
        <v>883</v>
      </c>
      <c r="F4" t="s">
        <v>31</v>
      </c>
      <c r="G4" t="s">
        <v>79</v>
      </c>
      <c r="H4" t="b">
        <v>0</v>
      </c>
      <c r="Y4" t="s">
        <v>62</v>
      </c>
      <c r="Z4" t="s">
        <v>62</v>
      </c>
      <c r="AA4" t="s">
        <v>62</v>
      </c>
      <c r="AG4" t="s">
        <v>80</v>
      </c>
      <c r="AI4" t="s">
        <v>61</v>
      </c>
    </row>
    <row r="5" spans="2:35" x14ac:dyDescent="0.3">
      <c r="B5" t="s">
        <v>40</v>
      </c>
      <c r="C5" t="s">
        <v>81</v>
      </c>
      <c r="D5" t="s">
        <v>885</v>
      </c>
      <c r="F5" t="s">
        <v>32</v>
      </c>
      <c r="G5" t="s">
        <v>82</v>
      </c>
      <c r="H5" t="b">
        <v>0</v>
      </c>
      <c r="Y5" t="s">
        <v>62</v>
      </c>
      <c r="Z5" t="s">
        <v>62</v>
      </c>
      <c r="AA5" t="s">
        <v>62</v>
      </c>
      <c r="AG5" t="s">
        <v>83</v>
      </c>
      <c r="AI5" t="s">
        <v>61</v>
      </c>
    </row>
    <row r="6" spans="2:35" x14ac:dyDescent="0.3">
      <c r="B6" t="s">
        <v>40</v>
      </c>
      <c r="C6" t="s">
        <v>84</v>
      </c>
      <c r="D6" t="s">
        <v>884</v>
      </c>
      <c r="F6" t="s">
        <v>33</v>
      </c>
      <c r="G6" t="s">
        <v>85</v>
      </c>
      <c r="H6" t="b">
        <v>0</v>
      </c>
      <c r="P6" s="26"/>
      <c r="Y6" t="s">
        <v>62</v>
      </c>
      <c r="Z6" t="s">
        <v>62</v>
      </c>
      <c r="AA6" t="s">
        <v>62</v>
      </c>
      <c r="AG6" t="s">
        <v>86</v>
      </c>
      <c r="AI6" t="s">
        <v>61</v>
      </c>
    </row>
    <row r="7" spans="2:35" x14ac:dyDescent="0.3">
      <c r="B7" t="s">
        <v>40</v>
      </c>
      <c r="C7" t="s">
        <v>87</v>
      </c>
      <c r="D7" t="s">
        <v>886</v>
      </c>
      <c r="F7" t="s">
        <v>35</v>
      </c>
      <c r="G7" t="s">
        <v>88</v>
      </c>
      <c r="H7" t="b">
        <v>0</v>
      </c>
      <c r="O7" s="14"/>
      <c r="P7" s="14"/>
      <c r="S7" s="14"/>
      <c r="Y7" s="14" t="s">
        <v>62</v>
      </c>
      <c r="Z7" t="s">
        <v>62</v>
      </c>
      <c r="AA7" t="s">
        <v>62</v>
      </c>
      <c r="AG7" t="s">
        <v>89</v>
      </c>
      <c r="AI7" t="s">
        <v>61</v>
      </c>
    </row>
    <row r="8" spans="2:35" x14ac:dyDescent="0.3">
      <c r="B8" t="s">
        <v>40</v>
      </c>
      <c r="C8" t="s">
        <v>90</v>
      </c>
      <c r="D8" t="s">
        <v>887</v>
      </c>
      <c r="F8" t="s">
        <v>36</v>
      </c>
      <c r="G8" t="s">
        <v>91</v>
      </c>
      <c r="H8" t="b">
        <v>0</v>
      </c>
      <c r="Y8" t="s">
        <v>62</v>
      </c>
      <c r="Z8" t="s">
        <v>62</v>
      </c>
      <c r="AA8" t="s">
        <v>62</v>
      </c>
      <c r="AG8" t="s">
        <v>92</v>
      </c>
      <c r="AI8" t="s">
        <v>61</v>
      </c>
    </row>
    <row r="9" spans="2:35" x14ac:dyDescent="0.3">
      <c r="B9" t="s">
        <v>40</v>
      </c>
      <c r="C9" t="s">
        <v>93</v>
      </c>
      <c r="D9" t="s">
        <v>888</v>
      </c>
      <c r="F9" t="s">
        <v>37</v>
      </c>
      <c r="G9" t="s">
        <v>94</v>
      </c>
      <c r="H9" t="b">
        <v>0</v>
      </c>
      <c r="O9" s="14"/>
      <c r="P9" s="14"/>
      <c r="S9" s="14"/>
      <c r="Y9" s="14" t="s">
        <v>69</v>
      </c>
      <c r="Z9" t="s">
        <v>69</v>
      </c>
      <c r="AA9" t="s">
        <v>62</v>
      </c>
      <c r="AG9" t="s">
        <v>95</v>
      </c>
      <c r="AI9" t="s">
        <v>61</v>
      </c>
    </row>
    <row r="10" spans="2:35" x14ac:dyDescent="0.3">
      <c r="B10" t="s">
        <v>40</v>
      </c>
      <c r="C10" t="s">
        <v>96</v>
      </c>
      <c r="D10" t="s">
        <v>889</v>
      </c>
      <c r="F10" t="s">
        <v>41</v>
      </c>
      <c r="G10" t="s">
        <v>97</v>
      </c>
      <c r="H10" t="b">
        <v>0</v>
      </c>
      <c r="O10" s="14"/>
      <c r="P10" s="14"/>
      <c r="S10" s="14"/>
      <c r="Y10" s="14" t="s">
        <v>62</v>
      </c>
      <c r="Z10" s="14" t="s">
        <v>62</v>
      </c>
      <c r="AA10" s="14" t="s">
        <v>62</v>
      </c>
      <c r="AG10" t="s">
        <v>98</v>
      </c>
      <c r="AI10" t="s">
        <v>61</v>
      </c>
    </row>
    <row r="11" spans="2:35" x14ac:dyDescent="0.3">
      <c r="B11" t="s">
        <v>40</v>
      </c>
      <c r="C11" t="s">
        <v>99</v>
      </c>
      <c r="D11" t="s">
        <v>890</v>
      </c>
      <c r="F11" t="s">
        <v>42</v>
      </c>
      <c r="G11" t="s">
        <v>100</v>
      </c>
      <c r="H11" t="b">
        <v>0</v>
      </c>
      <c r="O11" s="14"/>
      <c r="P11" s="14"/>
      <c r="S11" s="14"/>
      <c r="Y11" s="14" t="s">
        <v>62</v>
      </c>
      <c r="Z11" s="14" t="s">
        <v>62</v>
      </c>
      <c r="AA11" s="14" t="s">
        <v>62</v>
      </c>
      <c r="AG11" t="s">
        <v>101</v>
      </c>
      <c r="AI11" t="s">
        <v>61</v>
      </c>
    </row>
    <row r="12" spans="2:35" x14ac:dyDescent="0.3">
      <c r="B12" t="s">
        <v>40</v>
      </c>
      <c r="C12" t="s">
        <v>102</v>
      </c>
      <c r="D12" t="s">
        <v>891</v>
      </c>
      <c r="F12" t="s">
        <v>43</v>
      </c>
      <c r="G12" t="s">
        <v>103</v>
      </c>
      <c r="H12" t="b">
        <v>0</v>
      </c>
      <c r="O12" s="14"/>
      <c r="P12" s="14"/>
      <c r="S12" s="14"/>
      <c r="Y12" s="14" t="s">
        <v>62</v>
      </c>
      <c r="Z12" t="s">
        <v>62</v>
      </c>
      <c r="AA12" t="s">
        <v>62</v>
      </c>
      <c r="AG12" t="s">
        <v>104</v>
      </c>
      <c r="AI12" t="s">
        <v>61</v>
      </c>
    </row>
    <row r="13" spans="2:35" x14ac:dyDescent="0.3">
      <c r="B13" t="s">
        <v>40</v>
      </c>
      <c r="C13" t="s">
        <v>105</v>
      </c>
      <c r="D13" t="s">
        <v>892</v>
      </c>
      <c r="F13" t="s">
        <v>44</v>
      </c>
      <c r="G13" t="s">
        <v>106</v>
      </c>
      <c r="H13" t="b">
        <v>0</v>
      </c>
      <c r="O13" s="14"/>
      <c r="P13" s="14"/>
      <c r="S13" s="14"/>
      <c r="Y13" s="14" t="s">
        <v>62</v>
      </c>
      <c r="Z13" t="s">
        <v>62</v>
      </c>
      <c r="AA13" t="s">
        <v>62</v>
      </c>
      <c r="AG13" t="s">
        <v>104</v>
      </c>
      <c r="AI13" t="s">
        <v>61</v>
      </c>
    </row>
    <row r="14" spans="2:35" x14ac:dyDescent="0.3">
      <c r="B14" t="s">
        <v>64</v>
      </c>
      <c r="C14" t="s">
        <v>107</v>
      </c>
      <c r="D14" t="s">
        <v>108</v>
      </c>
      <c r="E14">
        <v>4</v>
      </c>
      <c r="Y14" s="27"/>
      <c r="AI14" t="s">
        <v>61</v>
      </c>
    </row>
    <row r="15" spans="2:35" x14ac:dyDescent="0.3">
      <c r="B15" t="s">
        <v>40</v>
      </c>
      <c r="C15" t="s">
        <v>109</v>
      </c>
      <c r="D15" t="s">
        <v>893</v>
      </c>
      <c r="F15" t="s">
        <v>29</v>
      </c>
      <c r="G15" t="s">
        <v>110</v>
      </c>
      <c r="H15" t="b">
        <v>0</v>
      </c>
      <c r="Y15" t="s">
        <v>62</v>
      </c>
      <c r="Z15" t="s">
        <v>62</v>
      </c>
      <c r="AA15" t="s">
        <v>62</v>
      </c>
      <c r="AG15" t="s">
        <v>104</v>
      </c>
      <c r="AI15" t="s">
        <v>61</v>
      </c>
    </row>
    <row r="16" spans="2:35" x14ac:dyDescent="0.3">
      <c r="B16" t="s">
        <v>40</v>
      </c>
      <c r="C16" t="s">
        <v>111</v>
      </c>
      <c r="D16" t="s">
        <v>894</v>
      </c>
      <c r="F16" t="s">
        <v>30</v>
      </c>
      <c r="G16" t="s">
        <v>112</v>
      </c>
      <c r="H16" t="b">
        <v>0</v>
      </c>
      <c r="O16" s="14"/>
      <c r="P16" s="14"/>
      <c r="S16" s="14"/>
      <c r="Y16" s="14" t="s">
        <v>62</v>
      </c>
      <c r="Z16" t="s">
        <v>62</v>
      </c>
      <c r="AA16" t="s">
        <v>62</v>
      </c>
      <c r="AG16" t="s">
        <v>113</v>
      </c>
      <c r="AI16" t="s">
        <v>61</v>
      </c>
    </row>
    <row r="17" spans="2:35" x14ac:dyDescent="0.3">
      <c r="B17" t="s">
        <v>40</v>
      </c>
      <c r="C17" t="s">
        <v>114</v>
      </c>
      <c r="D17" t="s">
        <v>895</v>
      </c>
      <c r="F17" t="s">
        <v>31</v>
      </c>
      <c r="G17" t="s">
        <v>115</v>
      </c>
      <c r="H17" t="b">
        <v>0</v>
      </c>
      <c r="Y17" t="s">
        <v>62</v>
      </c>
      <c r="Z17" t="s">
        <v>62</v>
      </c>
      <c r="AA17" t="s">
        <v>62</v>
      </c>
      <c r="AG17" t="s">
        <v>113</v>
      </c>
      <c r="AI17" t="s">
        <v>61</v>
      </c>
    </row>
    <row r="18" spans="2:35" x14ac:dyDescent="0.3">
      <c r="B18" t="s">
        <v>40</v>
      </c>
      <c r="C18" t="s">
        <v>116</v>
      </c>
      <c r="D18" t="s">
        <v>896</v>
      </c>
      <c r="F18" t="s">
        <v>32</v>
      </c>
      <c r="G18" t="s">
        <v>117</v>
      </c>
      <c r="H18" t="b">
        <v>0</v>
      </c>
      <c r="Y18" t="s">
        <v>62</v>
      </c>
      <c r="Z18" t="s">
        <v>62</v>
      </c>
      <c r="AA18" t="s">
        <v>62</v>
      </c>
      <c r="AG18" t="s">
        <v>113</v>
      </c>
      <c r="AI18" t="s">
        <v>61</v>
      </c>
    </row>
    <row r="19" spans="2:35" x14ac:dyDescent="0.3">
      <c r="B19" t="s">
        <v>40</v>
      </c>
      <c r="C19" t="s">
        <v>118</v>
      </c>
      <c r="D19" t="s">
        <v>119</v>
      </c>
      <c r="F19" t="s">
        <v>33</v>
      </c>
      <c r="G19" t="s">
        <v>120</v>
      </c>
      <c r="H19" t="b">
        <v>0</v>
      </c>
      <c r="O19" s="14"/>
      <c r="P19" s="14"/>
      <c r="Y19" s="14" t="s">
        <v>69</v>
      </c>
      <c r="Z19" s="14" t="s">
        <v>69</v>
      </c>
      <c r="AA19" s="14" t="s">
        <v>62</v>
      </c>
      <c r="AG19" t="s">
        <v>121</v>
      </c>
      <c r="AH19" t="s">
        <v>122</v>
      </c>
      <c r="AI19" t="s">
        <v>61</v>
      </c>
    </row>
    <row r="20" spans="2:35" x14ac:dyDescent="0.3">
      <c r="B20" t="s">
        <v>40</v>
      </c>
      <c r="C20" t="s">
        <v>123</v>
      </c>
      <c r="D20" t="s">
        <v>124</v>
      </c>
      <c r="F20" t="s">
        <v>35</v>
      </c>
      <c r="G20" t="s">
        <v>125</v>
      </c>
      <c r="H20" t="b">
        <v>0</v>
      </c>
      <c r="O20" s="14"/>
      <c r="P20" s="14"/>
      <c r="Y20" s="14" t="s">
        <v>69</v>
      </c>
      <c r="Z20" s="14" t="s">
        <v>69</v>
      </c>
      <c r="AA20" s="14" t="s">
        <v>62</v>
      </c>
      <c r="AG20" t="s">
        <v>126</v>
      </c>
      <c r="AH20" t="s">
        <v>122</v>
      </c>
      <c r="AI20" t="s">
        <v>61</v>
      </c>
    </row>
    <row r="21" spans="2:35" x14ac:dyDescent="0.3">
      <c r="B21" t="s">
        <v>40</v>
      </c>
      <c r="C21" t="s">
        <v>127</v>
      </c>
      <c r="D21" t="s">
        <v>952</v>
      </c>
      <c r="F21" t="s">
        <v>36</v>
      </c>
      <c r="G21" t="s">
        <v>128</v>
      </c>
      <c r="H21" t="b">
        <v>0</v>
      </c>
      <c r="O21" s="14"/>
      <c r="P21" s="14"/>
      <c r="Y21" s="14" t="s">
        <v>62</v>
      </c>
      <c r="Z21" s="14" t="s">
        <v>62</v>
      </c>
      <c r="AA21" s="14" t="s">
        <v>62</v>
      </c>
      <c r="AG21" t="s">
        <v>129</v>
      </c>
      <c r="AI21" t="s">
        <v>61</v>
      </c>
    </row>
    <row r="22" spans="2:35" x14ac:dyDescent="0.3">
      <c r="B22" t="s">
        <v>40</v>
      </c>
      <c r="C22" t="s">
        <v>130</v>
      </c>
      <c r="D22" t="s">
        <v>897</v>
      </c>
      <c r="F22" t="s">
        <v>37</v>
      </c>
      <c r="G22" t="s">
        <v>131</v>
      </c>
      <c r="H22" t="b">
        <v>0</v>
      </c>
      <c r="O22" s="14"/>
      <c r="P22" s="14"/>
      <c r="S22" s="14"/>
      <c r="Y22" s="14" t="s">
        <v>69</v>
      </c>
      <c r="Z22" s="14" t="s">
        <v>69</v>
      </c>
      <c r="AA22" s="14" t="s">
        <v>62</v>
      </c>
      <c r="AG22" t="s">
        <v>132</v>
      </c>
      <c r="AI22" t="s">
        <v>61</v>
      </c>
    </row>
    <row r="23" spans="2:35" x14ac:dyDescent="0.3">
      <c r="B23" t="s">
        <v>40</v>
      </c>
      <c r="C23" t="s">
        <v>133</v>
      </c>
      <c r="D23" t="s">
        <v>898</v>
      </c>
      <c r="F23" t="s">
        <v>41</v>
      </c>
      <c r="G23" t="s">
        <v>134</v>
      </c>
      <c r="H23" t="b">
        <v>0</v>
      </c>
      <c r="O23" s="14"/>
      <c r="P23" s="14"/>
      <c r="Y23" s="14" t="s">
        <v>69</v>
      </c>
      <c r="Z23" s="14" t="s">
        <v>69</v>
      </c>
      <c r="AA23" s="14" t="s">
        <v>62</v>
      </c>
      <c r="AG23" t="s">
        <v>135</v>
      </c>
      <c r="AI23" t="s">
        <v>61</v>
      </c>
    </row>
    <row r="24" spans="2:35" x14ac:dyDescent="0.3">
      <c r="B24" t="s">
        <v>40</v>
      </c>
      <c r="C24" t="s">
        <v>136</v>
      </c>
      <c r="D24" t="s">
        <v>137</v>
      </c>
      <c r="F24" t="s">
        <v>42</v>
      </c>
      <c r="G24" t="s">
        <v>138</v>
      </c>
      <c r="H24" t="b">
        <v>0</v>
      </c>
      <c r="Y24" t="s">
        <v>62</v>
      </c>
      <c r="Z24" t="s">
        <v>62</v>
      </c>
      <c r="AA24" t="s">
        <v>62</v>
      </c>
      <c r="AG24" t="s">
        <v>139</v>
      </c>
      <c r="AI24" t="s">
        <v>61</v>
      </c>
    </row>
    <row r="25" spans="2:35" x14ac:dyDescent="0.3">
      <c r="B25" t="s">
        <v>40</v>
      </c>
      <c r="C25" t="s">
        <v>140</v>
      </c>
      <c r="D25" t="s">
        <v>141</v>
      </c>
      <c r="F25" t="s">
        <v>43</v>
      </c>
      <c r="G25" t="s">
        <v>142</v>
      </c>
      <c r="H25" t="b">
        <v>0</v>
      </c>
      <c r="Y25" t="s">
        <v>62</v>
      </c>
      <c r="Z25" t="s">
        <v>62</v>
      </c>
      <c r="AA25" t="s">
        <v>62</v>
      </c>
      <c r="AG25" t="s">
        <v>143</v>
      </c>
      <c r="AI25" t="s">
        <v>61</v>
      </c>
    </row>
    <row r="26" spans="2:35" x14ac:dyDescent="0.3">
      <c r="B26" t="s">
        <v>40</v>
      </c>
      <c r="C26" t="s">
        <v>144</v>
      </c>
      <c r="D26" t="s">
        <v>899</v>
      </c>
      <c r="F26" t="s">
        <v>44</v>
      </c>
      <c r="G26" t="s">
        <v>145</v>
      </c>
      <c r="H26" t="b">
        <v>0</v>
      </c>
      <c r="Y26" t="s">
        <v>62</v>
      </c>
      <c r="Z26" t="s">
        <v>62</v>
      </c>
      <c r="AA26" t="s">
        <v>62</v>
      </c>
      <c r="AG26" t="s">
        <v>146</v>
      </c>
      <c r="AH26" t="s">
        <v>122</v>
      </c>
      <c r="AI26" t="s">
        <v>61</v>
      </c>
    </row>
    <row r="27" spans="2:35" x14ac:dyDescent="0.3">
      <c r="B27" t="s">
        <v>147</v>
      </c>
      <c r="C27" t="s">
        <v>148</v>
      </c>
      <c r="D27" t="s">
        <v>149</v>
      </c>
      <c r="E27">
        <v>5</v>
      </c>
      <c r="O27" s="14"/>
      <c r="P27" s="14"/>
      <c r="S27" s="14"/>
      <c r="Y27" s="14"/>
      <c r="AI27" t="s">
        <v>61</v>
      </c>
    </row>
    <row r="28" spans="2:35" x14ac:dyDescent="0.3">
      <c r="B28" t="s">
        <v>40</v>
      </c>
      <c r="C28" t="s">
        <v>150</v>
      </c>
      <c r="D28" t="s">
        <v>900</v>
      </c>
      <c r="F28" t="s">
        <v>29</v>
      </c>
      <c r="G28" t="s">
        <v>151</v>
      </c>
      <c r="H28" t="b">
        <v>0</v>
      </c>
      <c r="Y28" t="s">
        <v>62</v>
      </c>
      <c r="Z28" t="s">
        <v>62</v>
      </c>
      <c r="AA28" t="s">
        <v>62</v>
      </c>
      <c r="AG28" t="s">
        <v>152</v>
      </c>
      <c r="AH28" t="s">
        <v>122</v>
      </c>
      <c r="AI28" t="s">
        <v>61</v>
      </c>
    </row>
    <row r="29" spans="2:35" x14ac:dyDescent="0.3">
      <c r="B29" t="s">
        <v>40</v>
      </c>
      <c r="C29" t="s">
        <v>153</v>
      </c>
      <c r="D29" t="s">
        <v>899</v>
      </c>
      <c r="F29" t="s">
        <v>30</v>
      </c>
      <c r="G29" t="s">
        <v>154</v>
      </c>
      <c r="H29" t="b">
        <v>0</v>
      </c>
      <c r="Y29" t="s">
        <v>62</v>
      </c>
      <c r="Z29" t="s">
        <v>62</v>
      </c>
      <c r="AA29" t="s">
        <v>62</v>
      </c>
      <c r="AG29" t="s">
        <v>155</v>
      </c>
      <c r="AH29" t="s">
        <v>122</v>
      </c>
      <c r="AI29" t="s">
        <v>61</v>
      </c>
    </row>
    <row r="30" spans="2:35" x14ac:dyDescent="0.3">
      <c r="B30" t="s">
        <v>34</v>
      </c>
      <c r="C30" t="s">
        <v>156</v>
      </c>
      <c r="F30" t="s">
        <v>31</v>
      </c>
      <c r="Y30" t="s">
        <v>8</v>
      </c>
      <c r="Z30" t="s">
        <v>8</v>
      </c>
    </row>
    <row r="31" spans="2:35" x14ac:dyDescent="0.3">
      <c r="B31" t="s">
        <v>34</v>
      </c>
      <c r="C31" t="s">
        <v>157</v>
      </c>
      <c r="F31" t="s">
        <v>32</v>
      </c>
      <c r="Y31" t="s">
        <v>8</v>
      </c>
      <c r="Z31" t="s">
        <v>8</v>
      </c>
    </row>
    <row r="32" spans="2:35" x14ac:dyDescent="0.3">
      <c r="B32" t="s">
        <v>34</v>
      </c>
      <c r="C32" t="s">
        <v>158</v>
      </c>
      <c r="F32" t="s">
        <v>33</v>
      </c>
      <c r="Y32" t="s">
        <v>8</v>
      </c>
      <c r="Z32" t="s">
        <v>8</v>
      </c>
    </row>
    <row r="33" spans="2:35" x14ac:dyDescent="0.3">
      <c r="B33" t="s">
        <v>34</v>
      </c>
      <c r="C33" t="s">
        <v>159</v>
      </c>
      <c r="F33" t="s">
        <v>35</v>
      </c>
      <c r="Y33" t="s">
        <v>8</v>
      </c>
      <c r="Z33" t="s">
        <v>8</v>
      </c>
    </row>
    <row r="34" spans="2:35" x14ac:dyDescent="0.3">
      <c r="B34" t="s">
        <v>34</v>
      </c>
      <c r="C34" t="s">
        <v>160</v>
      </c>
      <c r="F34" t="s">
        <v>36</v>
      </c>
      <c r="Y34" t="s">
        <v>8</v>
      </c>
      <c r="Z34" t="s">
        <v>8</v>
      </c>
    </row>
    <row r="35" spans="2:35" x14ac:dyDescent="0.3">
      <c r="B35" t="s">
        <v>34</v>
      </c>
      <c r="C35" t="s">
        <v>161</v>
      </c>
      <c r="F35" t="s">
        <v>37</v>
      </c>
      <c r="Y35" t="s">
        <v>8</v>
      </c>
      <c r="Z35" t="s">
        <v>8</v>
      </c>
    </row>
    <row r="36" spans="2:35" x14ac:dyDescent="0.3">
      <c r="B36" t="s">
        <v>162</v>
      </c>
      <c r="C36" t="s">
        <v>163</v>
      </c>
      <c r="D36" t="s">
        <v>164</v>
      </c>
      <c r="E36">
        <v>6</v>
      </c>
      <c r="AI36" t="s">
        <v>61</v>
      </c>
    </row>
    <row r="37" spans="2:35" x14ac:dyDescent="0.3">
      <c r="B37" t="s">
        <v>28</v>
      </c>
      <c r="C37" t="s">
        <v>165</v>
      </c>
      <c r="D37" t="s">
        <v>166</v>
      </c>
      <c r="F37" t="s">
        <v>29</v>
      </c>
      <c r="G37" t="s">
        <v>167</v>
      </c>
      <c r="M37" t="s">
        <v>8</v>
      </c>
      <c r="N37" t="s">
        <v>9</v>
      </c>
      <c r="O37" s="14">
        <v>0</v>
      </c>
      <c r="P37" s="14">
        <v>1</v>
      </c>
      <c r="X37">
        <v>0</v>
      </c>
      <c r="Y37" s="14">
        <v>0</v>
      </c>
      <c r="Z37" s="14">
        <v>0</v>
      </c>
      <c r="AA37" s="14">
        <v>0</v>
      </c>
      <c r="AG37" t="s">
        <v>121</v>
      </c>
      <c r="AH37" t="s">
        <v>122</v>
      </c>
      <c r="AI37" t="s">
        <v>61</v>
      </c>
    </row>
    <row r="38" spans="2:35" x14ac:dyDescent="0.3">
      <c r="B38" t="s">
        <v>28</v>
      </c>
      <c r="C38" t="s">
        <v>168</v>
      </c>
      <c r="D38" t="s">
        <v>169</v>
      </c>
      <c r="F38" t="s">
        <v>30</v>
      </c>
      <c r="G38" t="s">
        <v>170</v>
      </c>
      <c r="M38" t="s">
        <v>8</v>
      </c>
      <c r="N38" t="s">
        <v>9</v>
      </c>
      <c r="O38" s="14">
        <v>0</v>
      </c>
      <c r="P38" s="14">
        <v>1</v>
      </c>
      <c r="X38">
        <v>0</v>
      </c>
      <c r="Y38" s="14">
        <v>0</v>
      </c>
      <c r="Z38" s="14">
        <v>0</v>
      </c>
      <c r="AA38" s="14">
        <v>0</v>
      </c>
      <c r="AG38" t="s">
        <v>126</v>
      </c>
      <c r="AH38" t="s">
        <v>122</v>
      </c>
      <c r="AI38" t="s">
        <v>61</v>
      </c>
    </row>
    <row r="39" spans="2:35" x14ac:dyDescent="0.3">
      <c r="B39" t="s">
        <v>28</v>
      </c>
      <c r="C39" t="s">
        <v>171</v>
      </c>
      <c r="D39" t="s">
        <v>172</v>
      </c>
      <c r="F39" t="s">
        <v>31</v>
      </c>
      <c r="G39" t="s">
        <v>173</v>
      </c>
      <c r="M39" t="s">
        <v>8</v>
      </c>
      <c r="N39" t="s">
        <v>9</v>
      </c>
      <c r="O39" s="14">
        <v>0</v>
      </c>
      <c r="P39" s="14">
        <v>1</v>
      </c>
      <c r="X39">
        <v>0</v>
      </c>
      <c r="Y39" s="14">
        <v>0</v>
      </c>
      <c r="Z39" s="14">
        <v>0</v>
      </c>
      <c r="AA39" s="14">
        <v>0</v>
      </c>
      <c r="AG39" t="s">
        <v>174</v>
      </c>
      <c r="AI39" t="s">
        <v>61</v>
      </c>
    </row>
    <row r="40" spans="2:35" x14ac:dyDescent="0.3">
      <c r="B40" t="s">
        <v>28</v>
      </c>
      <c r="C40" t="s">
        <v>175</v>
      </c>
      <c r="D40" t="s">
        <v>979</v>
      </c>
      <c r="F40" t="s">
        <v>32</v>
      </c>
      <c r="G40" t="s">
        <v>176</v>
      </c>
      <c r="M40" t="s">
        <v>8</v>
      </c>
      <c r="N40" t="s">
        <v>9</v>
      </c>
      <c r="O40" s="14">
        <v>0</v>
      </c>
      <c r="P40" s="14">
        <v>1</v>
      </c>
      <c r="X40">
        <v>0</v>
      </c>
      <c r="Y40" s="14">
        <v>1</v>
      </c>
      <c r="Z40" s="14">
        <v>1</v>
      </c>
      <c r="AA40" s="14">
        <v>0</v>
      </c>
      <c r="AG40" t="s">
        <v>177</v>
      </c>
      <c r="AI40" t="s">
        <v>61</v>
      </c>
    </row>
    <row r="41" spans="2:35" x14ac:dyDescent="0.3">
      <c r="B41" t="s">
        <v>28</v>
      </c>
      <c r="C41" t="s">
        <v>178</v>
      </c>
      <c r="D41" t="s">
        <v>980</v>
      </c>
      <c r="F41" t="s">
        <v>33</v>
      </c>
      <c r="G41" t="s">
        <v>179</v>
      </c>
      <c r="M41" t="s">
        <v>8</v>
      </c>
      <c r="N41" t="s">
        <v>9</v>
      </c>
      <c r="O41" s="14">
        <v>0</v>
      </c>
      <c r="P41" s="14">
        <v>1</v>
      </c>
      <c r="X41">
        <v>0</v>
      </c>
      <c r="Y41" s="14">
        <v>0.99819999999999998</v>
      </c>
      <c r="Z41" s="14">
        <v>1</v>
      </c>
      <c r="AA41" s="14">
        <v>0</v>
      </c>
      <c r="AG41" t="s">
        <v>180</v>
      </c>
      <c r="AI41" t="s">
        <v>61</v>
      </c>
    </row>
    <row r="42" spans="2:35" x14ac:dyDescent="0.3">
      <c r="B42" t="s">
        <v>28</v>
      </c>
      <c r="C42" t="s">
        <v>181</v>
      </c>
      <c r="D42" t="s">
        <v>182</v>
      </c>
      <c r="F42" t="s">
        <v>35</v>
      </c>
      <c r="G42" t="s">
        <v>183</v>
      </c>
      <c r="M42" t="s">
        <v>184</v>
      </c>
      <c r="N42" t="s">
        <v>9</v>
      </c>
      <c r="O42" s="14">
        <v>0</v>
      </c>
      <c r="P42" s="14">
        <v>1</v>
      </c>
      <c r="S42" s="14"/>
      <c r="X42">
        <v>0</v>
      </c>
      <c r="Y42" s="14">
        <v>8.9999999999999998E-4</v>
      </c>
      <c r="Z42" s="14">
        <v>0</v>
      </c>
      <c r="AA42" s="14">
        <v>0</v>
      </c>
      <c r="AH42" t="s">
        <v>122</v>
      </c>
      <c r="AI42" t="s">
        <v>61</v>
      </c>
    </row>
    <row r="43" spans="2:35" x14ac:dyDescent="0.3">
      <c r="B43" t="s">
        <v>28</v>
      </c>
      <c r="C43" t="s">
        <v>185</v>
      </c>
      <c r="D43" t="s">
        <v>901</v>
      </c>
      <c r="F43" t="s">
        <v>36</v>
      </c>
      <c r="G43" t="s">
        <v>186</v>
      </c>
      <c r="M43" t="s">
        <v>184</v>
      </c>
      <c r="N43" t="s">
        <v>9</v>
      </c>
      <c r="O43" s="14">
        <v>0</v>
      </c>
      <c r="P43" s="14">
        <v>1</v>
      </c>
      <c r="S43" s="14"/>
      <c r="X43">
        <v>0</v>
      </c>
      <c r="Y43" s="14">
        <v>0.39910000000000001</v>
      </c>
      <c r="Z43" s="14">
        <v>0.4</v>
      </c>
      <c r="AA43" s="14">
        <v>0</v>
      </c>
      <c r="AG43" t="s">
        <v>187</v>
      </c>
      <c r="AH43" t="s">
        <v>122</v>
      </c>
      <c r="AI43" t="s">
        <v>61</v>
      </c>
    </row>
    <row r="44" spans="2:35" x14ac:dyDescent="0.3">
      <c r="B44" t="s">
        <v>28</v>
      </c>
      <c r="C44" t="s">
        <v>188</v>
      </c>
      <c r="D44" t="s">
        <v>902</v>
      </c>
      <c r="F44" t="s">
        <v>37</v>
      </c>
      <c r="G44" t="s">
        <v>189</v>
      </c>
      <c r="M44" t="s">
        <v>184</v>
      </c>
      <c r="N44" t="s">
        <v>9</v>
      </c>
      <c r="O44" s="14">
        <v>0</v>
      </c>
      <c r="P44" s="14">
        <v>1</v>
      </c>
      <c r="S44" s="14"/>
      <c r="X44">
        <v>0</v>
      </c>
      <c r="Y44" s="14">
        <v>0.99790000000000001</v>
      </c>
      <c r="Z44" s="14">
        <v>1</v>
      </c>
      <c r="AA44" s="14">
        <v>0</v>
      </c>
      <c r="AG44" t="s">
        <v>190</v>
      </c>
      <c r="AH44" t="s">
        <v>122</v>
      </c>
      <c r="AI44" t="s">
        <v>61</v>
      </c>
    </row>
    <row r="45" spans="2:35" x14ac:dyDescent="0.3">
      <c r="B45" t="s">
        <v>162</v>
      </c>
      <c r="C45" t="s">
        <v>191</v>
      </c>
      <c r="D45" t="s">
        <v>192</v>
      </c>
      <c r="E45">
        <v>7</v>
      </c>
      <c r="O45" s="14"/>
      <c r="P45" s="14"/>
      <c r="S45" s="14"/>
      <c r="Y45" s="14"/>
      <c r="AI45" t="s">
        <v>61</v>
      </c>
    </row>
    <row r="46" spans="2:35" x14ac:dyDescent="0.3">
      <c r="B46" t="s">
        <v>28</v>
      </c>
      <c r="C46" t="s">
        <v>193</v>
      </c>
      <c r="D46" t="s">
        <v>194</v>
      </c>
      <c r="F46" t="s">
        <v>29</v>
      </c>
      <c r="G46" t="s">
        <v>195</v>
      </c>
      <c r="M46" t="s">
        <v>184</v>
      </c>
      <c r="N46" t="s">
        <v>9</v>
      </c>
      <c r="O46" s="14">
        <v>0</v>
      </c>
      <c r="P46" s="14">
        <v>1</v>
      </c>
      <c r="X46">
        <v>0</v>
      </c>
      <c r="Y46" s="14">
        <v>9.8599999999999993E-2</v>
      </c>
      <c r="Z46" s="14">
        <v>0.1</v>
      </c>
      <c r="AA46" s="14">
        <v>0</v>
      </c>
      <c r="AG46" t="s">
        <v>196</v>
      </c>
      <c r="AH46" t="s">
        <v>122</v>
      </c>
      <c r="AI46" t="s">
        <v>61</v>
      </c>
    </row>
    <row r="47" spans="2:35" x14ac:dyDescent="0.3">
      <c r="B47" t="s">
        <v>28</v>
      </c>
      <c r="C47" t="s">
        <v>197</v>
      </c>
      <c r="D47" t="s">
        <v>198</v>
      </c>
      <c r="F47" t="s">
        <v>30</v>
      </c>
      <c r="G47" t="s">
        <v>199</v>
      </c>
      <c r="M47" t="s">
        <v>8</v>
      </c>
      <c r="N47" t="s">
        <v>9</v>
      </c>
      <c r="O47" s="14">
        <v>0</v>
      </c>
      <c r="P47" s="14">
        <v>1</v>
      </c>
      <c r="X47">
        <v>0</v>
      </c>
      <c r="Y47" s="14">
        <v>0</v>
      </c>
      <c r="Z47" s="14">
        <v>0</v>
      </c>
      <c r="AA47" s="14">
        <v>0</v>
      </c>
      <c r="AG47" t="s">
        <v>139</v>
      </c>
      <c r="AI47" t="s">
        <v>61</v>
      </c>
    </row>
    <row r="48" spans="2:35" x14ac:dyDescent="0.3">
      <c r="B48" t="s">
        <v>28</v>
      </c>
      <c r="C48" t="s">
        <v>200</v>
      </c>
      <c r="D48" t="s">
        <v>201</v>
      </c>
      <c r="F48" t="s">
        <v>31</v>
      </c>
      <c r="G48" t="s">
        <v>202</v>
      </c>
      <c r="M48" t="s">
        <v>8</v>
      </c>
      <c r="N48" t="s">
        <v>9</v>
      </c>
      <c r="O48" s="14">
        <v>0</v>
      </c>
      <c r="P48" s="14">
        <v>1</v>
      </c>
      <c r="X48">
        <v>0</v>
      </c>
      <c r="Y48" s="14">
        <v>0</v>
      </c>
      <c r="Z48" s="14">
        <v>0</v>
      </c>
      <c r="AA48" s="14">
        <v>0</v>
      </c>
      <c r="AG48" t="s">
        <v>143</v>
      </c>
      <c r="AI48" t="s">
        <v>61</v>
      </c>
    </row>
    <row r="49" spans="2:35" x14ac:dyDescent="0.3">
      <c r="B49" t="s">
        <v>28</v>
      </c>
      <c r="C49" t="s">
        <v>203</v>
      </c>
      <c r="D49" t="s">
        <v>204</v>
      </c>
      <c r="F49" t="s">
        <v>32</v>
      </c>
      <c r="G49" t="s">
        <v>205</v>
      </c>
      <c r="M49" t="s">
        <v>8</v>
      </c>
      <c r="N49" t="s">
        <v>9</v>
      </c>
      <c r="O49" s="14">
        <v>0</v>
      </c>
      <c r="P49" s="14">
        <v>1</v>
      </c>
      <c r="X49">
        <v>0</v>
      </c>
      <c r="Y49" s="14">
        <v>0</v>
      </c>
      <c r="Z49" s="14">
        <v>0</v>
      </c>
      <c r="AA49" s="14">
        <v>0</v>
      </c>
      <c r="AG49" t="s">
        <v>206</v>
      </c>
      <c r="AI49" t="s">
        <v>61</v>
      </c>
    </row>
    <row r="50" spans="2:35" x14ac:dyDescent="0.3">
      <c r="B50" t="s">
        <v>28</v>
      </c>
      <c r="C50" t="s">
        <v>207</v>
      </c>
      <c r="D50" t="s">
        <v>208</v>
      </c>
      <c r="F50" t="s">
        <v>33</v>
      </c>
      <c r="G50" t="s">
        <v>209</v>
      </c>
      <c r="M50" t="s">
        <v>8</v>
      </c>
      <c r="N50" t="s">
        <v>9</v>
      </c>
      <c r="O50" s="14">
        <v>0</v>
      </c>
      <c r="P50" s="14">
        <v>1</v>
      </c>
      <c r="X50">
        <v>0</v>
      </c>
      <c r="Y50" s="14">
        <v>0</v>
      </c>
      <c r="Z50" s="14">
        <v>0</v>
      </c>
      <c r="AA50" s="14">
        <v>0</v>
      </c>
      <c r="AG50" t="s">
        <v>210</v>
      </c>
      <c r="AI50" t="s">
        <v>61</v>
      </c>
    </row>
    <row r="51" spans="2:35" x14ac:dyDescent="0.3">
      <c r="B51" t="s">
        <v>28</v>
      </c>
      <c r="C51" t="s">
        <v>211</v>
      </c>
      <c r="D51" t="s">
        <v>981</v>
      </c>
      <c r="F51" t="s">
        <v>35</v>
      </c>
      <c r="G51" t="s">
        <v>212</v>
      </c>
      <c r="M51" t="s">
        <v>8</v>
      </c>
      <c r="N51" t="s">
        <v>9</v>
      </c>
      <c r="O51" s="14">
        <v>0</v>
      </c>
      <c r="P51" s="14">
        <v>1</v>
      </c>
      <c r="X51">
        <v>0</v>
      </c>
      <c r="Y51" s="14">
        <v>0</v>
      </c>
      <c r="Z51" s="14">
        <v>0</v>
      </c>
      <c r="AA51" s="14">
        <v>0</v>
      </c>
      <c r="AG51" t="s">
        <v>213</v>
      </c>
      <c r="AI51" t="s">
        <v>61</v>
      </c>
    </row>
    <row r="52" spans="2:35" x14ac:dyDescent="0.3">
      <c r="B52" t="s">
        <v>28</v>
      </c>
      <c r="C52" t="s">
        <v>214</v>
      </c>
      <c r="D52" t="s">
        <v>982</v>
      </c>
      <c r="F52" t="s">
        <v>36</v>
      </c>
      <c r="G52" t="s">
        <v>215</v>
      </c>
      <c r="M52" t="s">
        <v>8</v>
      </c>
      <c r="N52" t="s">
        <v>9</v>
      </c>
      <c r="O52" s="14">
        <v>0</v>
      </c>
      <c r="P52" s="14">
        <v>1</v>
      </c>
      <c r="X52">
        <v>0</v>
      </c>
      <c r="Y52" s="14">
        <v>0</v>
      </c>
      <c r="Z52" s="14">
        <v>0</v>
      </c>
      <c r="AA52" s="14">
        <v>0</v>
      </c>
      <c r="AG52" t="s">
        <v>216</v>
      </c>
      <c r="AI52" t="s">
        <v>61</v>
      </c>
    </row>
    <row r="53" spans="2:35" x14ac:dyDescent="0.3">
      <c r="B53" t="s">
        <v>28</v>
      </c>
      <c r="C53" t="s">
        <v>217</v>
      </c>
      <c r="D53" t="s">
        <v>903</v>
      </c>
      <c r="F53" t="s">
        <v>37</v>
      </c>
      <c r="G53" t="s">
        <v>218</v>
      </c>
      <c r="M53" t="s">
        <v>8</v>
      </c>
      <c r="N53" t="s">
        <v>9</v>
      </c>
      <c r="O53" s="14">
        <v>0</v>
      </c>
      <c r="P53" s="14">
        <v>1</v>
      </c>
      <c r="X53">
        <v>0</v>
      </c>
      <c r="Y53" s="14">
        <v>0</v>
      </c>
      <c r="Z53" s="14">
        <v>0</v>
      </c>
      <c r="AA53" s="14">
        <v>0</v>
      </c>
      <c r="AG53" t="s">
        <v>219</v>
      </c>
      <c r="AI53" t="s">
        <v>61</v>
      </c>
    </row>
    <row r="54" spans="2:35" x14ac:dyDescent="0.3">
      <c r="B54" t="s">
        <v>66</v>
      </c>
      <c r="C54" t="s">
        <v>220</v>
      </c>
      <c r="D54" t="s">
        <v>221</v>
      </c>
      <c r="E54">
        <v>8</v>
      </c>
      <c r="AI54" t="s">
        <v>61</v>
      </c>
    </row>
    <row r="55" spans="2:35" x14ac:dyDescent="0.3">
      <c r="B55" t="s">
        <v>222</v>
      </c>
      <c r="C55" t="s">
        <v>223</v>
      </c>
      <c r="D55" t="s">
        <v>224</v>
      </c>
      <c r="F55" t="s">
        <v>10</v>
      </c>
      <c r="G55" t="s">
        <v>225</v>
      </c>
      <c r="M55" t="s">
        <v>226</v>
      </c>
      <c r="N55" t="s">
        <v>227</v>
      </c>
      <c r="O55" t="s">
        <v>228</v>
      </c>
      <c r="P55" t="s">
        <v>229</v>
      </c>
      <c r="S55" t="s">
        <v>228</v>
      </c>
      <c r="W55" t="b">
        <v>1</v>
      </c>
      <c r="X55">
        <v>0</v>
      </c>
      <c r="Y55" t="s">
        <v>230</v>
      </c>
      <c r="AG55" t="s">
        <v>225</v>
      </c>
      <c r="AH55" t="s">
        <v>122</v>
      </c>
      <c r="AI55" t="s">
        <v>61</v>
      </c>
    </row>
    <row r="56" spans="2:35" x14ac:dyDescent="0.3">
      <c r="B56" t="s">
        <v>222</v>
      </c>
      <c r="C56" t="s">
        <v>231</v>
      </c>
      <c r="D56" t="s">
        <v>232</v>
      </c>
      <c r="F56" t="s">
        <v>11</v>
      </c>
      <c r="G56" t="s">
        <v>233</v>
      </c>
      <c r="M56" t="s">
        <v>226</v>
      </c>
      <c r="N56" t="s">
        <v>227</v>
      </c>
      <c r="O56" t="s">
        <v>228</v>
      </c>
      <c r="P56" t="s">
        <v>229</v>
      </c>
      <c r="S56" t="s">
        <v>228</v>
      </c>
      <c r="W56" t="b">
        <v>1</v>
      </c>
      <c r="X56">
        <v>0</v>
      </c>
      <c r="Y56" t="s">
        <v>234</v>
      </c>
      <c r="AG56" t="s">
        <v>126</v>
      </c>
      <c r="AH56" t="s">
        <v>122</v>
      </c>
      <c r="AI56" t="s">
        <v>61</v>
      </c>
    </row>
    <row r="57" spans="2:35" x14ac:dyDescent="0.3">
      <c r="B57" t="s">
        <v>235</v>
      </c>
      <c r="C57" t="s">
        <v>236</v>
      </c>
      <c r="D57" t="s">
        <v>983</v>
      </c>
      <c r="F57" t="s">
        <v>12</v>
      </c>
      <c r="G57" t="s">
        <v>237</v>
      </c>
      <c r="M57" t="s">
        <v>184</v>
      </c>
      <c r="N57" t="s">
        <v>8</v>
      </c>
      <c r="O57" s="14">
        <v>0</v>
      </c>
      <c r="P57" s="14">
        <v>1</v>
      </c>
      <c r="S57" s="14">
        <v>0</v>
      </c>
      <c r="W57" t="b">
        <v>1</v>
      </c>
      <c r="X57">
        <v>0</v>
      </c>
      <c r="Y57" s="14">
        <v>-4.0315000000000003</v>
      </c>
      <c r="AG57" t="s">
        <v>177</v>
      </c>
      <c r="AI57" t="s">
        <v>61</v>
      </c>
    </row>
    <row r="58" spans="2:35" x14ac:dyDescent="0.3">
      <c r="B58" t="s">
        <v>235</v>
      </c>
      <c r="C58" t="s">
        <v>238</v>
      </c>
      <c r="D58" t="s">
        <v>984</v>
      </c>
      <c r="F58" t="s">
        <v>14</v>
      </c>
      <c r="G58" t="s">
        <v>239</v>
      </c>
      <c r="M58" t="s">
        <v>184</v>
      </c>
      <c r="N58" t="s">
        <v>9</v>
      </c>
      <c r="O58" s="14">
        <v>0</v>
      </c>
      <c r="P58" s="14">
        <v>1</v>
      </c>
      <c r="S58" s="14">
        <v>0</v>
      </c>
      <c r="W58" t="b">
        <v>1</v>
      </c>
      <c r="X58">
        <v>0</v>
      </c>
      <c r="Y58" s="14">
        <v>-0.24940000000000001</v>
      </c>
      <c r="AG58" t="s">
        <v>180</v>
      </c>
      <c r="AI58" t="s">
        <v>61</v>
      </c>
    </row>
    <row r="59" spans="2:35" x14ac:dyDescent="0.3">
      <c r="B59" t="s">
        <v>235</v>
      </c>
      <c r="C59" t="s">
        <v>240</v>
      </c>
      <c r="D59" t="s">
        <v>904</v>
      </c>
      <c r="F59" t="s">
        <v>15</v>
      </c>
      <c r="G59" t="s">
        <v>241</v>
      </c>
      <c r="M59" t="s">
        <v>184</v>
      </c>
      <c r="N59" t="s">
        <v>9</v>
      </c>
      <c r="O59" s="14">
        <v>0</v>
      </c>
      <c r="P59" s="14">
        <v>1</v>
      </c>
      <c r="S59" s="14">
        <v>0</v>
      </c>
      <c r="W59" t="b">
        <v>1</v>
      </c>
      <c r="X59">
        <v>0</v>
      </c>
      <c r="Y59" s="14">
        <v>3.3999999999999998E-3</v>
      </c>
      <c r="AG59" t="s">
        <v>241</v>
      </c>
      <c r="AH59" t="s">
        <v>122</v>
      </c>
      <c r="AI59" t="s">
        <v>61</v>
      </c>
    </row>
    <row r="60" spans="2:35" x14ac:dyDescent="0.3">
      <c r="B60" t="s">
        <v>235</v>
      </c>
      <c r="C60" t="s">
        <v>242</v>
      </c>
      <c r="D60" t="s">
        <v>906</v>
      </c>
      <c r="F60" t="s">
        <v>16</v>
      </c>
      <c r="G60" t="s">
        <v>243</v>
      </c>
      <c r="M60" t="s">
        <v>184</v>
      </c>
      <c r="N60" t="s">
        <v>9</v>
      </c>
      <c r="O60" s="14">
        <v>0</v>
      </c>
      <c r="P60" s="14">
        <v>1</v>
      </c>
      <c r="S60" s="14">
        <v>0</v>
      </c>
      <c r="W60" t="b">
        <v>1</v>
      </c>
      <c r="X60">
        <v>0</v>
      </c>
      <c r="Y60" s="14">
        <v>0.1527</v>
      </c>
      <c r="AG60" t="s">
        <v>187</v>
      </c>
      <c r="AH60" t="s">
        <v>122</v>
      </c>
      <c r="AI60" t="s">
        <v>61</v>
      </c>
    </row>
    <row r="61" spans="2:35" x14ac:dyDescent="0.3">
      <c r="B61" t="s">
        <v>235</v>
      </c>
      <c r="C61" t="s">
        <v>244</v>
      </c>
      <c r="D61" t="s">
        <v>907</v>
      </c>
      <c r="F61" t="s">
        <v>18</v>
      </c>
      <c r="G61" t="s">
        <v>245</v>
      </c>
      <c r="M61" t="s">
        <v>184</v>
      </c>
      <c r="N61" t="s">
        <v>9</v>
      </c>
      <c r="O61" s="14">
        <v>0</v>
      </c>
      <c r="P61" s="14">
        <v>1</v>
      </c>
      <c r="S61" s="14">
        <v>0</v>
      </c>
      <c r="W61" t="b">
        <v>1</v>
      </c>
      <c r="X61">
        <v>0</v>
      </c>
      <c r="Y61" s="14">
        <v>0.70720000000000005</v>
      </c>
      <c r="AG61" t="s">
        <v>190</v>
      </c>
      <c r="AH61" t="s">
        <v>122</v>
      </c>
      <c r="AI61" t="s">
        <v>61</v>
      </c>
    </row>
    <row r="62" spans="2:35" x14ac:dyDescent="0.3">
      <c r="B62" t="s">
        <v>235</v>
      </c>
      <c r="C62" t="s">
        <v>246</v>
      </c>
      <c r="D62" t="s">
        <v>905</v>
      </c>
      <c r="F62" t="s">
        <v>19</v>
      </c>
      <c r="G62" t="s">
        <v>247</v>
      </c>
      <c r="M62" t="s">
        <v>184</v>
      </c>
      <c r="N62" t="s">
        <v>9</v>
      </c>
      <c r="O62" s="14">
        <v>0</v>
      </c>
      <c r="P62" s="14">
        <v>1</v>
      </c>
      <c r="S62" s="14">
        <v>0</v>
      </c>
      <c r="W62" t="b">
        <v>1</v>
      </c>
      <c r="X62">
        <v>0</v>
      </c>
      <c r="Y62" s="14">
        <v>8.9899999999999994E-2</v>
      </c>
      <c r="AG62" t="s">
        <v>196</v>
      </c>
      <c r="AH62" t="s">
        <v>122</v>
      </c>
      <c r="AI62" t="s">
        <v>61</v>
      </c>
    </row>
    <row r="63" spans="2:35" x14ac:dyDescent="0.3">
      <c r="B63" t="s">
        <v>28</v>
      </c>
      <c r="C63" t="s">
        <v>248</v>
      </c>
      <c r="D63" t="s">
        <v>908</v>
      </c>
      <c r="F63" t="s">
        <v>29</v>
      </c>
      <c r="G63" t="s">
        <v>249</v>
      </c>
      <c r="M63" t="s">
        <v>184</v>
      </c>
      <c r="N63" t="s">
        <v>9</v>
      </c>
      <c r="O63" s="14">
        <v>0</v>
      </c>
      <c r="P63" s="14">
        <v>1</v>
      </c>
      <c r="X63">
        <v>0</v>
      </c>
      <c r="Y63" s="14">
        <v>1.6999999999999999E-3</v>
      </c>
      <c r="Z63" s="14">
        <v>0</v>
      </c>
      <c r="AA63" s="14">
        <v>0</v>
      </c>
      <c r="AG63" t="s">
        <v>250</v>
      </c>
      <c r="AI63" t="s">
        <v>61</v>
      </c>
    </row>
    <row r="64" spans="2:35" x14ac:dyDescent="0.3">
      <c r="B64" t="s">
        <v>34</v>
      </c>
      <c r="C64" t="s">
        <v>251</v>
      </c>
      <c r="F64" t="s">
        <v>30</v>
      </c>
      <c r="Y64" t="s">
        <v>8</v>
      </c>
      <c r="Z64" t="s">
        <v>8</v>
      </c>
    </row>
    <row r="65" spans="2:35" x14ac:dyDescent="0.3">
      <c r="B65" t="s">
        <v>34</v>
      </c>
      <c r="C65" t="s">
        <v>252</v>
      </c>
      <c r="F65" t="s">
        <v>31</v>
      </c>
      <c r="Y65" t="s">
        <v>8</v>
      </c>
      <c r="Z65" t="s">
        <v>8</v>
      </c>
    </row>
    <row r="66" spans="2:35" x14ac:dyDescent="0.3">
      <c r="B66" t="s">
        <v>34</v>
      </c>
      <c r="C66" t="s">
        <v>253</v>
      </c>
      <c r="F66" t="s">
        <v>32</v>
      </c>
      <c r="Y66" t="s">
        <v>8</v>
      </c>
      <c r="Z66" t="s">
        <v>8</v>
      </c>
    </row>
    <row r="67" spans="2:35" x14ac:dyDescent="0.3">
      <c r="B67" t="s">
        <v>63</v>
      </c>
      <c r="C67" t="s">
        <v>254</v>
      </c>
      <c r="D67" t="s">
        <v>255</v>
      </c>
      <c r="E67">
        <v>9</v>
      </c>
      <c r="AI67" t="s">
        <v>61</v>
      </c>
    </row>
    <row r="68" spans="2:35" x14ac:dyDescent="0.3">
      <c r="B68" t="s">
        <v>38</v>
      </c>
      <c r="C68" t="s">
        <v>256</v>
      </c>
      <c r="D68" t="s">
        <v>909</v>
      </c>
      <c r="F68" t="s">
        <v>10</v>
      </c>
      <c r="G68" t="s">
        <v>257</v>
      </c>
      <c r="H68" t="b">
        <v>1</v>
      </c>
      <c r="I68" t="s">
        <v>68</v>
      </c>
      <c r="J68" t="b">
        <v>1</v>
      </c>
      <c r="Y68" t="s">
        <v>69</v>
      </c>
      <c r="AG68" t="s">
        <v>257</v>
      </c>
      <c r="AI68" t="s">
        <v>61</v>
      </c>
    </row>
    <row r="69" spans="2:35" x14ac:dyDescent="0.3">
      <c r="B69" t="s">
        <v>38</v>
      </c>
      <c r="C69" t="s">
        <v>258</v>
      </c>
      <c r="D69" t="s">
        <v>910</v>
      </c>
      <c r="F69" t="s">
        <v>11</v>
      </c>
      <c r="G69" t="s">
        <v>259</v>
      </c>
      <c r="H69" t="b">
        <v>1</v>
      </c>
      <c r="I69" t="s">
        <v>68</v>
      </c>
      <c r="J69" t="b">
        <v>1</v>
      </c>
      <c r="Y69" t="s">
        <v>69</v>
      </c>
      <c r="AG69" t="s">
        <v>259</v>
      </c>
      <c r="AI69" t="s">
        <v>61</v>
      </c>
    </row>
    <row r="70" spans="2:35" x14ac:dyDescent="0.3">
      <c r="B70" t="s">
        <v>38</v>
      </c>
      <c r="C70" t="s">
        <v>260</v>
      </c>
      <c r="D70" t="s">
        <v>911</v>
      </c>
      <c r="F70" t="s">
        <v>12</v>
      </c>
      <c r="G70" t="s">
        <v>261</v>
      </c>
      <c r="H70" t="b">
        <v>1</v>
      </c>
      <c r="I70" t="s">
        <v>68</v>
      </c>
      <c r="J70" t="b">
        <v>1</v>
      </c>
      <c r="Y70" t="s">
        <v>69</v>
      </c>
      <c r="AG70" t="s">
        <v>261</v>
      </c>
      <c r="AI70" t="s">
        <v>61</v>
      </c>
    </row>
    <row r="71" spans="2:35" x14ac:dyDescent="0.3">
      <c r="B71" t="s">
        <v>38</v>
      </c>
      <c r="C71" t="s">
        <v>262</v>
      </c>
      <c r="D71" t="s">
        <v>912</v>
      </c>
      <c r="F71" t="s">
        <v>14</v>
      </c>
      <c r="G71" t="s">
        <v>263</v>
      </c>
      <c r="H71" t="b">
        <v>0</v>
      </c>
      <c r="I71" t="s">
        <v>13</v>
      </c>
      <c r="J71" t="b">
        <v>0</v>
      </c>
      <c r="Y71" t="s">
        <v>62</v>
      </c>
      <c r="AG71" t="s">
        <v>263</v>
      </c>
      <c r="AI71" t="s">
        <v>61</v>
      </c>
    </row>
    <row r="72" spans="2:35" x14ac:dyDescent="0.3">
      <c r="B72" t="s">
        <v>38</v>
      </c>
      <c r="C72" t="s">
        <v>264</v>
      </c>
      <c r="D72" t="s">
        <v>977</v>
      </c>
      <c r="F72" t="s">
        <v>15</v>
      </c>
      <c r="G72" t="s">
        <v>265</v>
      </c>
      <c r="H72" t="b">
        <v>1</v>
      </c>
      <c r="I72" t="s">
        <v>68</v>
      </c>
      <c r="J72" t="b">
        <v>1</v>
      </c>
      <c r="Y72" t="s">
        <v>69</v>
      </c>
      <c r="AG72" t="s">
        <v>265</v>
      </c>
      <c r="AI72" t="s">
        <v>61</v>
      </c>
    </row>
    <row r="73" spans="2:35" x14ac:dyDescent="0.3">
      <c r="B73" t="s">
        <v>38</v>
      </c>
      <c r="C73" t="s">
        <v>266</v>
      </c>
      <c r="D73" t="s">
        <v>913</v>
      </c>
      <c r="F73" t="s">
        <v>16</v>
      </c>
      <c r="G73" t="s">
        <v>267</v>
      </c>
      <c r="H73" t="b">
        <v>0</v>
      </c>
      <c r="I73" t="s">
        <v>13</v>
      </c>
      <c r="J73" t="b">
        <v>0</v>
      </c>
      <c r="Y73" t="s">
        <v>69</v>
      </c>
      <c r="AG73" t="s">
        <v>267</v>
      </c>
      <c r="AH73" t="s">
        <v>122</v>
      </c>
      <c r="AI73" t="s">
        <v>61</v>
      </c>
    </row>
    <row r="74" spans="2:35" x14ac:dyDescent="0.3">
      <c r="B74" t="s">
        <v>38</v>
      </c>
      <c r="C74" t="s">
        <v>268</v>
      </c>
      <c r="D74" t="s">
        <v>269</v>
      </c>
      <c r="F74" t="s">
        <v>18</v>
      </c>
      <c r="G74" t="s">
        <v>270</v>
      </c>
      <c r="H74" t="b">
        <v>1</v>
      </c>
      <c r="I74" t="s">
        <v>68</v>
      </c>
      <c r="J74" t="b">
        <v>1</v>
      </c>
      <c r="O74" s="14"/>
      <c r="P74" s="14"/>
      <c r="Y74" s="14" t="s">
        <v>62</v>
      </c>
      <c r="Z74" s="14"/>
      <c r="AA74" s="14"/>
      <c r="AG74" t="s">
        <v>121</v>
      </c>
      <c r="AH74" t="s">
        <v>122</v>
      </c>
      <c r="AI74" t="s">
        <v>61</v>
      </c>
    </row>
    <row r="75" spans="2:35" x14ac:dyDescent="0.3">
      <c r="B75" t="s">
        <v>38</v>
      </c>
      <c r="C75" t="s">
        <v>271</v>
      </c>
      <c r="D75" t="s">
        <v>914</v>
      </c>
      <c r="F75" t="s">
        <v>19</v>
      </c>
      <c r="G75" t="s">
        <v>272</v>
      </c>
      <c r="H75" t="b">
        <v>0</v>
      </c>
      <c r="I75" t="s">
        <v>13</v>
      </c>
      <c r="J75" t="b">
        <v>0</v>
      </c>
      <c r="O75" s="14"/>
      <c r="P75" s="14"/>
      <c r="Y75" s="14" t="s">
        <v>62</v>
      </c>
      <c r="Z75" s="14"/>
      <c r="AA75" s="14"/>
      <c r="AG75" t="s">
        <v>126</v>
      </c>
      <c r="AH75" t="s">
        <v>122</v>
      </c>
      <c r="AI75" t="s">
        <v>61</v>
      </c>
    </row>
    <row r="76" spans="2:35" x14ac:dyDescent="0.3">
      <c r="B76" t="s">
        <v>38</v>
      </c>
      <c r="C76" t="s">
        <v>273</v>
      </c>
      <c r="D76" t="s">
        <v>274</v>
      </c>
      <c r="F76" t="s">
        <v>20</v>
      </c>
      <c r="G76" t="s">
        <v>275</v>
      </c>
      <c r="H76" t="b">
        <v>1</v>
      </c>
      <c r="I76" t="s">
        <v>68</v>
      </c>
      <c r="J76" t="b">
        <v>1</v>
      </c>
      <c r="O76" s="14"/>
      <c r="P76" s="14"/>
      <c r="Y76" s="14" t="s">
        <v>62</v>
      </c>
      <c r="Z76" s="14"/>
      <c r="AA76" s="14"/>
      <c r="AG76" t="s">
        <v>126</v>
      </c>
      <c r="AH76" t="s">
        <v>122</v>
      </c>
      <c r="AI76" t="s">
        <v>61</v>
      </c>
    </row>
    <row r="77" spans="2:35" x14ac:dyDescent="0.3">
      <c r="B77" t="s">
        <v>38</v>
      </c>
      <c r="C77" t="s">
        <v>276</v>
      </c>
      <c r="D77" t="s">
        <v>277</v>
      </c>
      <c r="F77" t="s">
        <v>21</v>
      </c>
      <c r="G77" t="s">
        <v>278</v>
      </c>
      <c r="H77" t="b">
        <v>0</v>
      </c>
      <c r="I77" t="s">
        <v>13</v>
      </c>
      <c r="J77" t="b">
        <v>0</v>
      </c>
      <c r="O77" s="14"/>
      <c r="P77" s="14"/>
      <c r="Y77" s="14" t="s">
        <v>62</v>
      </c>
      <c r="Z77" s="14"/>
      <c r="AA77" s="14"/>
      <c r="AG77" t="s">
        <v>129</v>
      </c>
      <c r="AI77" t="s">
        <v>61</v>
      </c>
    </row>
    <row r="78" spans="2:35" x14ac:dyDescent="0.3">
      <c r="B78" t="s">
        <v>38</v>
      </c>
      <c r="C78" t="s">
        <v>279</v>
      </c>
      <c r="D78" t="s">
        <v>280</v>
      </c>
      <c r="F78" t="s">
        <v>22</v>
      </c>
      <c r="G78" t="s">
        <v>281</v>
      </c>
      <c r="H78" t="b">
        <v>1</v>
      </c>
      <c r="I78" t="s">
        <v>68</v>
      </c>
      <c r="J78" t="b">
        <v>1</v>
      </c>
      <c r="Y78" t="s">
        <v>69</v>
      </c>
      <c r="AG78" t="s">
        <v>129</v>
      </c>
      <c r="AI78" t="s">
        <v>61</v>
      </c>
    </row>
    <row r="79" spans="2:35" x14ac:dyDescent="0.3">
      <c r="B79" t="s">
        <v>38</v>
      </c>
      <c r="C79" t="s">
        <v>282</v>
      </c>
      <c r="D79" t="s">
        <v>915</v>
      </c>
      <c r="F79" t="s">
        <v>23</v>
      </c>
      <c r="G79" t="s">
        <v>283</v>
      </c>
      <c r="H79" t="b">
        <v>0</v>
      </c>
      <c r="I79" t="s">
        <v>13</v>
      </c>
      <c r="J79" t="b">
        <v>0</v>
      </c>
      <c r="Y79" t="s">
        <v>62</v>
      </c>
      <c r="AG79" t="s">
        <v>132</v>
      </c>
      <c r="AI79" t="s">
        <v>61</v>
      </c>
    </row>
    <row r="80" spans="2:35" x14ac:dyDescent="0.3">
      <c r="B80" t="s">
        <v>38</v>
      </c>
      <c r="C80" t="s">
        <v>284</v>
      </c>
      <c r="D80" t="s">
        <v>916</v>
      </c>
      <c r="F80" t="s">
        <v>24</v>
      </c>
      <c r="G80" t="s">
        <v>285</v>
      </c>
      <c r="H80" t="b">
        <v>0</v>
      </c>
      <c r="I80" t="s">
        <v>13</v>
      </c>
      <c r="J80" t="b">
        <v>0</v>
      </c>
      <c r="Y80" t="s">
        <v>62</v>
      </c>
      <c r="AG80" t="s">
        <v>132</v>
      </c>
      <c r="AI80" t="s">
        <v>61</v>
      </c>
    </row>
    <row r="81" spans="2:35" x14ac:dyDescent="0.3">
      <c r="B81" t="s">
        <v>38</v>
      </c>
      <c r="C81" t="s">
        <v>286</v>
      </c>
      <c r="D81" t="s">
        <v>917</v>
      </c>
      <c r="F81" t="s">
        <v>25</v>
      </c>
      <c r="G81" t="s">
        <v>287</v>
      </c>
      <c r="H81" t="b">
        <v>0</v>
      </c>
      <c r="I81" t="s">
        <v>13</v>
      </c>
      <c r="J81" t="b">
        <v>0</v>
      </c>
      <c r="Y81" t="s">
        <v>62</v>
      </c>
      <c r="AG81" t="s">
        <v>135</v>
      </c>
      <c r="AI81" t="s">
        <v>61</v>
      </c>
    </row>
    <row r="82" spans="2:35" x14ac:dyDescent="0.3">
      <c r="B82" t="s">
        <v>38</v>
      </c>
      <c r="C82" t="s">
        <v>288</v>
      </c>
      <c r="D82" t="s">
        <v>918</v>
      </c>
      <c r="F82" t="s">
        <v>26</v>
      </c>
      <c r="G82" t="s">
        <v>289</v>
      </c>
      <c r="H82" t="b">
        <v>0</v>
      </c>
      <c r="I82" t="s">
        <v>13</v>
      </c>
      <c r="J82" t="b">
        <v>0</v>
      </c>
      <c r="Y82" t="s">
        <v>62</v>
      </c>
      <c r="AG82" t="s">
        <v>135</v>
      </c>
      <c r="AI82" t="s">
        <v>61</v>
      </c>
    </row>
    <row r="83" spans="2:35" x14ac:dyDescent="0.3">
      <c r="B83" t="s">
        <v>38</v>
      </c>
      <c r="C83" t="s">
        <v>290</v>
      </c>
      <c r="D83" t="s">
        <v>919</v>
      </c>
      <c r="F83" t="s">
        <v>27</v>
      </c>
      <c r="G83" t="s">
        <v>291</v>
      </c>
      <c r="H83" t="b">
        <v>1</v>
      </c>
      <c r="I83" t="s">
        <v>68</v>
      </c>
      <c r="J83" t="b">
        <v>1</v>
      </c>
      <c r="Y83" t="s">
        <v>62</v>
      </c>
      <c r="AG83" t="s">
        <v>292</v>
      </c>
      <c r="AH83" t="s">
        <v>122</v>
      </c>
      <c r="AI83" t="s">
        <v>61</v>
      </c>
    </row>
    <row r="84" spans="2:35" x14ac:dyDescent="0.3">
      <c r="B84" t="s">
        <v>63</v>
      </c>
      <c r="C84" t="s">
        <v>293</v>
      </c>
      <c r="D84" t="s">
        <v>294</v>
      </c>
      <c r="E84">
        <v>10</v>
      </c>
      <c r="AI84" t="s">
        <v>61</v>
      </c>
    </row>
    <row r="85" spans="2:35" x14ac:dyDescent="0.3">
      <c r="B85" t="s">
        <v>38</v>
      </c>
      <c r="C85" t="s">
        <v>295</v>
      </c>
      <c r="D85" t="s">
        <v>920</v>
      </c>
      <c r="F85" t="s">
        <v>10</v>
      </c>
      <c r="G85" t="s">
        <v>296</v>
      </c>
      <c r="H85" t="b">
        <v>1</v>
      </c>
      <c r="I85" t="s">
        <v>68</v>
      </c>
      <c r="J85" t="b">
        <v>1</v>
      </c>
      <c r="Y85" t="s">
        <v>62</v>
      </c>
      <c r="AG85" t="s">
        <v>297</v>
      </c>
      <c r="AH85" t="s">
        <v>122</v>
      </c>
      <c r="AI85" t="s">
        <v>61</v>
      </c>
    </row>
    <row r="86" spans="2:35" x14ac:dyDescent="0.3">
      <c r="B86" t="s">
        <v>38</v>
      </c>
      <c r="C86" t="s">
        <v>298</v>
      </c>
      <c r="D86" t="s">
        <v>921</v>
      </c>
      <c r="F86" t="s">
        <v>11</v>
      </c>
      <c r="G86" t="s">
        <v>299</v>
      </c>
      <c r="H86" t="b">
        <v>1</v>
      </c>
      <c r="I86" t="s">
        <v>68</v>
      </c>
      <c r="J86" t="b">
        <v>1</v>
      </c>
      <c r="Y86" t="s">
        <v>62</v>
      </c>
      <c r="AG86" t="s">
        <v>300</v>
      </c>
      <c r="AH86" t="s">
        <v>122</v>
      </c>
      <c r="AI86" t="s">
        <v>61</v>
      </c>
    </row>
    <row r="87" spans="2:35" x14ac:dyDescent="0.3">
      <c r="B87" t="s">
        <v>38</v>
      </c>
      <c r="C87" t="s">
        <v>301</v>
      </c>
      <c r="D87" t="s">
        <v>922</v>
      </c>
      <c r="F87" t="s">
        <v>12</v>
      </c>
      <c r="G87" t="s">
        <v>302</v>
      </c>
      <c r="H87" t="b">
        <v>1</v>
      </c>
      <c r="I87" t="s">
        <v>68</v>
      </c>
      <c r="J87" t="b">
        <v>1</v>
      </c>
      <c r="Y87" t="s">
        <v>62</v>
      </c>
      <c r="AG87" t="s">
        <v>303</v>
      </c>
      <c r="AH87" t="s">
        <v>122</v>
      </c>
      <c r="AI87" t="s">
        <v>61</v>
      </c>
    </row>
    <row r="88" spans="2:35" x14ac:dyDescent="0.3">
      <c r="B88" t="s">
        <v>38</v>
      </c>
      <c r="C88" t="s">
        <v>304</v>
      </c>
      <c r="D88" t="s">
        <v>923</v>
      </c>
      <c r="F88" t="s">
        <v>14</v>
      </c>
      <c r="G88" t="s">
        <v>305</v>
      </c>
      <c r="H88" t="b">
        <v>1</v>
      </c>
      <c r="I88" t="s">
        <v>68</v>
      </c>
      <c r="J88" t="b">
        <v>1</v>
      </c>
      <c r="Y88" t="s">
        <v>62</v>
      </c>
      <c r="AG88" t="s">
        <v>306</v>
      </c>
      <c r="AH88" t="s">
        <v>122</v>
      </c>
      <c r="AI88" t="s">
        <v>61</v>
      </c>
    </row>
    <row r="89" spans="2:35" x14ac:dyDescent="0.3">
      <c r="B89" t="s">
        <v>38</v>
      </c>
      <c r="C89" t="s">
        <v>307</v>
      </c>
      <c r="D89" t="s">
        <v>925</v>
      </c>
      <c r="F89" t="s">
        <v>15</v>
      </c>
      <c r="G89" t="s">
        <v>308</v>
      </c>
      <c r="H89" t="b">
        <v>0</v>
      </c>
      <c r="I89" t="s">
        <v>13</v>
      </c>
      <c r="J89" t="b">
        <v>0</v>
      </c>
      <c r="Y89" t="s">
        <v>69</v>
      </c>
      <c r="AG89" t="s">
        <v>309</v>
      </c>
      <c r="AH89" t="s">
        <v>122</v>
      </c>
      <c r="AI89" t="s">
        <v>61</v>
      </c>
    </row>
    <row r="90" spans="2:35" x14ac:dyDescent="0.3">
      <c r="B90" t="s">
        <v>38</v>
      </c>
      <c r="C90" t="s">
        <v>310</v>
      </c>
      <c r="D90" t="s">
        <v>924</v>
      </c>
      <c r="F90" t="s">
        <v>16</v>
      </c>
      <c r="G90" t="s">
        <v>308</v>
      </c>
      <c r="H90" t="b">
        <v>0</v>
      </c>
      <c r="I90" t="s">
        <v>13</v>
      </c>
      <c r="J90" t="b">
        <v>0</v>
      </c>
      <c r="Y90" t="s">
        <v>69</v>
      </c>
      <c r="AG90" t="s">
        <v>311</v>
      </c>
      <c r="AH90" t="s">
        <v>122</v>
      </c>
      <c r="AI90" t="s">
        <v>61</v>
      </c>
    </row>
    <row r="91" spans="2:35" x14ac:dyDescent="0.3">
      <c r="B91" t="s">
        <v>38</v>
      </c>
      <c r="C91" t="s">
        <v>312</v>
      </c>
      <c r="D91" t="s">
        <v>991</v>
      </c>
      <c r="F91" t="s">
        <v>18</v>
      </c>
      <c r="G91" t="s">
        <v>313</v>
      </c>
      <c r="H91" t="b">
        <v>1</v>
      </c>
      <c r="I91" t="s">
        <v>68</v>
      </c>
      <c r="J91" t="b">
        <v>1</v>
      </c>
      <c r="Y91" t="s">
        <v>62</v>
      </c>
      <c r="AG91" t="s">
        <v>314</v>
      </c>
      <c r="AH91" t="s">
        <v>122</v>
      </c>
      <c r="AI91" t="s">
        <v>61</v>
      </c>
    </row>
    <row r="92" spans="2:35" x14ac:dyDescent="0.3">
      <c r="B92" t="s">
        <v>38</v>
      </c>
      <c r="C92" t="s">
        <v>315</v>
      </c>
      <c r="D92" t="s">
        <v>926</v>
      </c>
      <c r="F92" t="s">
        <v>19</v>
      </c>
      <c r="G92" t="s">
        <v>316</v>
      </c>
      <c r="H92" t="b">
        <v>1</v>
      </c>
      <c r="I92" t="s">
        <v>68</v>
      </c>
      <c r="J92" t="b">
        <v>1</v>
      </c>
      <c r="Y92" t="s">
        <v>62</v>
      </c>
      <c r="AG92" t="s">
        <v>317</v>
      </c>
      <c r="AH92" t="s">
        <v>122</v>
      </c>
      <c r="AI92" t="s">
        <v>61</v>
      </c>
    </row>
    <row r="93" spans="2:35" x14ac:dyDescent="0.3">
      <c r="B93" t="s">
        <v>38</v>
      </c>
      <c r="C93" t="s">
        <v>318</v>
      </c>
      <c r="D93" t="s">
        <v>319</v>
      </c>
      <c r="F93" t="s">
        <v>20</v>
      </c>
      <c r="G93" t="s">
        <v>320</v>
      </c>
      <c r="H93" t="b">
        <v>1</v>
      </c>
      <c r="I93" t="s">
        <v>68</v>
      </c>
      <c r="J93" t="b">
        <v>1</v>
      </c>
      <c r="Y93" t="s">
        <v>62</v>
      </c>
      <c r="AG93" t="s">
        <v>321</v>
      </c>
      <c r="AI93" t="s">
        <v>61</v>
      </c>
    </row>
    <row r="94" spans="2:35" x14ac:dyDescent="0.3">
      <c r="B94" t="s">
        <v>38</v>
      </c>
      <c r="C94" t="s">
        <v>322</v>
      </c>
      <c r="D94" t="s">
        <v>323</v>
      </c>
      <c r="F94" t="s">
        <v>21</v>
      </c>
      <c r="G94" t="s">
        <v>324</v>
      </c>
      <c r="H94" t="b">
        <v>1</v>
      </c>
      <c r="I94" t="s">
        <v>68</v>
      </c>
      <c r="J94" t="b">
        <v>1</v>
      </c>
      <c r="Y94" t="s">
        <v>69</v>
      </c>
      <c r="AG94" t="s">
        <v>321</v>
      </c>
      <c r="AI94" t="s">
        <v>61</v>
      </c>
    </row>
    <row r="95" spans="2:35" x14ac:dyDescent="0.3">
      <c r="B95" t="s">
        <v>38</v>
      </c>
      <c r="C95" t="s">
        <v>325</v>
      </c>
      <c r="D95" t="s">
        <v>326</v>
      </c>
      <c r="F95" t="s">
        <v>22</v>
      </c>
      <c r="G95" t="s">
        <v>327</v>
      </c>
      <c r="H95" t="b">
        <v>1</v>
      </c>
      <c r="I95" t="s">
        <v>68</v>
      </c>
      <c r="J95" t="b">
        <v>1</v>
      </c>
      <c r="Y95" t="s">
        <v>62</v>
      </c>
      <c r="AG95" t="s">
        <v>327</v>
      </c>
      <c r="AI95" t="s">
        <v>61</v>
      </c>
    </row>
    <row r="96" spans="2:35" x14ac:dyDescent="0.3">
      <c r="B96" t="s">
        <v>38</v>
      </c>
      <c r="C96" t="s">
        <v>328</v>
      </c>
      <c r="D96" t="s">
        <v>329</v>
      </c>
      <c r="F96" t="s">
        <v>23</v>
      </c>
      <c r="G96" t="s">
        <v>330</v>
      </c>
      <c r="H96" t="b">
        <v>1</v>
      </c>
      <c r="I96" t="s">
        <v>68</v>
      </c>
      <c r="J96" t="b">
        <v>1</v>
      </c>
      <c r="Y96" t="s">
        <v>69</v>
      </c>
      <c r="AG96" t="s">
        <v>330</v>
      </c>
      <c r="AI96" t="s">
        <v>61</v>
      </c>
    </row>
    <row r="97" spans="2:35" x14ac:dyDescent="0.3">
      <c r="B97" t="s">
        <v>38</v>
      </c>
      <c r="C97" t="s">
        <v>331</v>
      </c>
      <c r="D97" t="s">
        <v>927</v>
      </c>
      <c r="F97" t="s">
        <v>24</v>
      </c>
      <c r="G97" t="s">
        <v>332</v>
      </c>
      <c r="H97" t="b">
        <v>0</v>
      </c>
      <c r="I97" t="s">
        <v>13</v>
      </c>
      <c r="J97" t="b">
        <v>0</v>
      </c>
      <c r="O97" s="14"/>
      <c r="P97" s="14"/>
      <c r="Y97" s="14" t="s">
        <v>62</v>
      </c>
      <c r="Z97" s="14"/>
      <c r="AA97" s="14"/>
      <c r="AG97" t="s">
        <v>139</v>
      </c>
      <c r="AI97" t="s">
        <v>61</v>
      </c>
    </row>
    <row r="98" spans="2:35" x14ac:dyDescent="0.3">
      <c r="B98" t="s">
        <v>38</v>
      </c>
      <c r="C98" t="s">
        <v>333</v>
      </c>
      <c r="D98" t="s">
        <v>334</v>
      </c>
      <c r="F98" t="s">
        <v>25</v>
      </c>
      <c r="G98" t="s">
        <v>335</v>
      </c>
      <c r="H98" t="b">
        <v>1</v>
      </c>
      <c r="I98" t="s">
        <v>68</v>
      </c>
      <c r="J98" t="b">
        <v>1</v>
      </c>
      <c r="O98" s="14"/>
      <c r="P98" s="14"/>
      <c r="Y98" s="14" t="s">
        <v>69</v>
      </c>
      <c r="Z98" s="14"/>
      <c r="AA98" s="14"/>
      <c r="AG98" t="s">
        <v>139</v>
      </c>
      <c r="AI98" t="s">
        <v>61</v>
      </c>
    </row>
    <row r="99" spans="2:35" x14ac:dyDescent="0.3">
      <c r="B99" t="s">
        <v>38</v>
      </c>
      <c r="C99" t="s">
        <v>336</v>
      </c>
      <c r="D99" t="s">
        <v>928</v>
      </c>
      <c r="F99" t="s">
        <v>26</v>
      </c>
      <c r="G99" t="s">
        <v>337</v>
      </c>
      <c r="H99" t="b">
        <v>0</v>
      </c>
      <c r="I99" t="s">
        <v>13</v>
      </c>
      <c r="J99" t="b">
        <v>0</v>
      </c>
      <c r="O99" s="14"/>
      <c r="P99" s="14"/>
      <c r="Y99" s="14" t="s">
        <v>62</v>
      </c>
      <c r="Z99" s="14"/>
      <c r="AA99" s="14"/>
      <c r="AG99" t="s">
        <v>143</v>
      </c>
      <c r="AI99" t="s">
        <v>61</v>
      </c>
    </row>
    <row r="100" spans="2:35" x14ac:dyDescent="0.3">
      <c r="B100" t="s">
        <v>38</v>
      </c>
      <c r="C100" t="s">
        <v>338</v>
      </c>
      <c r="D100" t="s">
        <v>339</v>
      </c>
      <c r="F100" t="s">
        <v>27</v>
      </c>
      <c r="G100" t="s">
        <v>340</v>
      </c>
      <c r="H100" t="b">
        <v>1</v>
      </c>
      <c r="I100" t="s">
        <v>68</v>
      </c>
      <c r="J100" t="b">
        <v>1</v>
      </c>
      <c r="O100" s="14"/>
      <c r="P100" s="14"/>
      <c r="Y100" s="14" t="s">
        <v>69</v>
      </c>
      <c r="Z100" s="14"/>
      <c r="AA100" s="14"/>
      <c r="AG100" t="s">
        <v>143</v>
      </c>
      <c r="AI100" t="s">
        <v>61</v>
      </c>
    </row>
    <row r="101" spans="2:35" x14ac:dyDescent="0.3">
      <c r="B101" t="s">
        <v>63</v>
      </c>
      <c r="C101" t="s">
        <v>341</v>
      </c>
      <c r="D101" t="s">
        <v>342</v>
      </c>
      <c r="E101">
        <v>11</v>
      </c>
      <c r="O101" s="14"/>
      <c r="P101" s="14"/>
      <c r="Y101" s="14"/>
      <c r="Z101" s="14"/>
      <c r="AA101" s="14"/>
      <c r="AI101" t="s">
        <v>61</v>
      </c>
    </row>
    <row r="102" spans="2:35" x14ac:dyDescent="0.3">
      <c r="B102" t="s">
        <v>38</v>
      </c>
      <c r="C102" t="s">
        <v>343</v>
      </c>
      <c r="D102" t="s">
        <v>929</v>
      </c>
      <c r="F102" t="s">
        <v>10</v>
      </c>
      <c r="G102" t="s">
        <v>344</v>
      </c>
      <c r="H102" t="b">
        <v>0</v>
      </c>
      <c r="I102" t="s">
        <v>13</v>
      </c>
      <c r="J102" t="b">
        <v>0</v>
      </c>
      <c r="O102" s="14"/>
      <c r="P102" s="14"/>
      <c r="Y102" s="14" t="s">
        <v>69</v>
      </c>
      <c r="Z102" s="14"/>
      <c r="AA102" s="14"/>
      <c r="AG102" t="s">
        <v>146</v>
      </c>
      <c r="AH102" t="s">
        <v>122</v>
      </c>
      <c r="AI102" t="s">
        <v>61</v>
      </c>
    </row>
    <row r="103" spans="2:35" x14ac:dyDescent="0.3">
      <c r="B103" t="s">
        <v>38</v>
      </c>
      <c r="C103" t="s">
        <v>345</v>
      </c>
      <c r="D103" t="s">
        <v>930</v>
      </c>
      <c r="F103" t="s">
        <v>11</v>
      </c>
      <c r="G103" t="s">
        <v>346</v>
      </c>
      <c r="H103" t="b">
        <v>0</v>
      </c>
      <c r="I103" t="s">
        <v>13</v>
      </c>
      <c r="J103" t="b">
        <v>0</v>
      </c>
      <c r="O103" s="14"/>
      <c r="P103" s="14"/>
      <c r="Y103" s="14" t="s">
        <v>62</v>
      </c>
      <c r="Z103" s="14"/>
      <c r="AA103" s="14"/>
      <c r="AG103" t="s">
        <v>146</v>
      </c>
      <c r="AH103" t="s">
        <v>122</v>
      </c>
      <c r="AI103" t="s">
        <v>61</v>
      </c>
    </row>
    <row r="104" spans="2:35" x14ac:dyDescent="0.3">
      <c r="B104" t="s">
        <v>38</v>
      </c>
      <c r="C104" t="s">
        <v>347</v>
      </c>
      <c r="D104" t="s">
        <v>931</v>
      </c>
      <c r="F104" t="s">
        <v>12</v>
      </c>
      <c r="G104" t="s">
        <v>348</v>
      </c>
      <c r="H104" t="b">
        <v>0</v>
      </c>
      <c r="I104" t="s">
        <v>13</v>
      </c>
      <c r="J104" t="b">
        <v>0</v>
      </c>
      <c r="O104" s="14"/>
      <c r="P104" s="14"/>
      <c r="S104" s="14"/>
      <c r="Y104" s="14" t="s">
        <v>69</v>
      </c>
      <c r="Z104" s="14"/>
      <c r="AA104" s="14"/>
      <c r="AG104" t="s">
        <v>152</v>
      </c>
      <c r="AH104" t="s">
        <v>122</v>
      </c>
      <c r="AI104" t="s">
        <v>61</v>
      </c>
    </row>
    <row r="105" spans="2:35" x14ac:dyDescent="0.3">
      <c r="B105" t="s">
        <v>38</v>
      </c>
      <c r="C105" t="s">
        <v>349</v>
      </c>
      <c r="D105" t="s">
        <v>932</v>
      </c>
      <c r="F105" t="s">
        <v>14</v>
      </c>
      <c r="G105" t="s">
        <v>350</v>
      </c>
      <c r="H105" t="b">
        <v>0</v>
      </c>
      <c r="I105" t="s">
        <v>13</v>
      </c>
      <c r="J105" t="b">
        <v>0</v>
      </c>
      <c r="Y105" t="s">
        <v>62</v>
      </c>
      <c r="AG105" t="s">
        <v>152</v>
      </c>
      <c r="AH105" t="s">
        <v>122</v>
      </c>
      <c r="AI105" t="s">
        <v>61</v>
      </c>
    </row>
    <row r="106" spans="2:35" x14ac:dyDescent="0.3">
      <c r="B106" t="s">
        <v>38</v>
      </c>
      <c r="C106" t="s">
        <v>351</v>
      </c>
      <c r="D106" t="s">
        <v>929</v>
      </c>
      <c r="F106" t="s">
        <v>15</v>
      </c>
      <c r="G106" t="s">
        <v>352</v>
      </c>
      <c r="H106" t="b">
        <v>0</v>
      </c>
      <c r="I106" t="s">
        <v>13</v>
      </c>
      <c r="J106" t="b">
        <v>0</v>
      </c>
      <c r="O106" s="14"/>
      <c r="P106" s="14"/>
      <c r="Y106" s="14" t="s">
        <v>69</v>
      </c>
      <c r="Z106" s="14"/>
      <c r="AA106" s="14"/>
      <c r="AG106" t="s">
        <v>155</v>
      </c>
      <c r="AH106" t="s">
        <v>122</v>
      </c>
      <c r="AI106" t="s">
        <v>61</v>
      </c>
    </row>
    <row r="107" spans="2:35" x14ac:dyDescent="0.3">
      <c r="B107" t="s">
        <v>38</v>
      </c>
      <c r="C107" t="s">
        <v>353</v>
      </c>
      <c r="D107" t="s">
        <v>930</v>
      </c>
      <c r="F107" t="s">
        <v>16</v>
      </c>
      <c r="G107" t="s">
        <v>354</v>
      </c>
      <c r="H107" t="b">
        <v>0</v>
      </c>
      <c r="I107" t="s">
        <v>13</v>
      </c>
      <c r="J107" t="b">
        <v>0</v>
      </c>
      <c r="O107" s="14"/>
      <c r="P107" s="14"/>
      <c r="Y107" s="14" t="s">
        <v>62</v>
      </c>
      <c r="Z107" s="14"/>
      <c r="AA107" s="14"/>
      <c r="AG107" t="s">
        <v>155</v>
      </c>
      <c r="AH107" t="s">
        <v>122</v>
      </c>
      <c r="AI107" t="s">
        <v>61</v>
      </c>
    </row>
    <row r="108" spans="2:35" x14ac:dyDescent="0.3">
      <c r="B108" t="s">
        <v>38</v>
      </c>
      <c r="C108" t="s">
        <v>355</v>
      </c>
      <c r="D108" t="s">
        <v>933</v>
      </c>
      <c r="F108" t="s">
        <v>18</v>
      </c>
      <c r="G108" t="s">
        <v>356</v>
      </c>
      <c r="H108" t="b">
        <v>1</v>
      </c>
      <c r="I108" t="s">
        <v>68</v>
      </c>
      <c r="J108" t="b">
        <v>1</v>
      </c>
      <c r="O108" s="14"/>
      <c r="P108" s="14"/>
      <c r="Y108" s="14" t="s">
        <v>69</v>
      </c>
      <c r="Z108" s="14"/>
      <c r="AA108" s="14"/>
      <c r="AG108" t="s">
        <v>357</v>
      </c>
      <c r="AH108" t="s">
        <v>122</v>
      </c>
      <c r="AI108" t="s">
        <v>61</v>
      </c>
    </row>
    <row r="109" spans="2:35" x14ac:dyDescent="0.3">
      <c r="B109" t="s">
        <v>38</v>
      </c>
      <c r="C109" t="s">
        <v>358</v>
      </c>
      <c r="D109" t="s">
        <v>934</v>
      </c>
      <c r="F109" t="s">
        <v>19</v>
      </c>
      <c r="G109" t="s">
        <v>359</v>
      </c>
      <c r="H109" t="b">
        <v>1</v>
      </c>
      <c r="I109" t="s">
        <v>68</v>
      </c>
      <c r="J109" t="b">
        <v>1</v>
      </c>
      <c r="O109" s="14"/>
      <c r="P109" s="14"/>
      <c r="Y109" s="14" t="s">
        <v>69</v>
      </c>
      <c r="Z109" s="14"/>
      <c r="AA109" s="14"/>
      <c r="AG109" t="s">
        <v>360</v>
      </c>
      <c r="AH109" t="s">
        <v>122</v>
      </c>
      <c r="AI109" t="s">
        <v>61</v>
      </c>
    </row>
    <row r="110" spans="2:35" x14ac:dyDescent="0.3">
      <c r="B110" t="s">
        <v>38</v>
      </c>
      <c r="C110" t="s">
        <v>361</v>
      </c>
      <c r="D110" t="s">
        <v>935</v>
      </c>
      <c r="F110" t="s">
        <v>20</v>
      </c>
      <c r="G110" t="s">
        <v>362</v>
      </c>
      <c r="H110" t="b">
        <v>1</v>
      </c>
      <c r="I110" t="s">
        <v>68</v>
      </c>
      <c r="J110" t="b">
        <v>1</v>
      </c>
      <c r="O110" s="14"/>
      <c r="P110" s="14"/>
      <c r="Y110" s="14" t="s">
        <v>62</v>
      </c>
      <c r="Z110" s="14"/>
      <c r="AA110" s="14"/>
      <c r="AG110" t="s">
        <v>363</v>
      </c>
      <c r="AH110" t="s">
        <v>122</v>
      </c>
      <c r="AI110" t="s">
        <v>61</v>
      </c>
    </row>
    <row r="111" spans="2:35" x14ac:dyDescent="0.3">
      <c r="B111" t="s">
        <v>38</v>
      </c>
      <c r="C111" t="s">
        <v>364</v>
      </c>
      <c r="D111" t="s">
        <v>936</v>
      </c>
      <c r="F111" t="s">
        <v>21</v>
      </c>
      <c r="G111" t="s">
        <v>365</v>
      </c>
      <c r="H111" t="b">
        <v>1</v>
      </c>
      <c r="I111" t="s">
        <v>68</v>
      </c>
      <c r="J111" t="b">
        <v>1</v>
      </c>
      <c r="O111" s="14"/>
      <c r="P111" s="14"/>
      <c r="Y111" s="14" t="s">
        <v>62</v>
      </c>
      <c r="Z111" s="14"/>
      <c r="AA111" s="14"/>
      <c r="AG111" t="s">
        <v>366</v>
      </c>
      <c r="AH111" t="s">
        <v>122</v>
      </c>
      <c r="AI111" t="s">
        <v>61</v>
      </c>
    </row>
    <row r="112" spans="2:35" x14ac:dyDescent="0.3">
      <c r="B112" t="s">
        <v>38</v>
      </c>
      <c r="C112" t="s">
        <v>367</v>
      </c>
      <c r="D112" t="s">
        <v>937</v>
      </c>
      <c r="F112" t="s">
        <v>22</v>
      </c>
      <c r="G112" t="s">
        <v>368</v>
      </c>
      <c r="H112" t="b">
        <v>1</v>
      </c>
      <c r="I112" t="s">
        <v>68</v>
      </c>
      <c r="J112" t="b">
        <v>1</v>
      </c>
      <c r="O112" s="14"/>
      <c r="P112" s="14"/>
      <c r="Y112" s="14" t="s">
        <v>62</v>
      </c>
      <c r="Z112" s="14"/>
      <c r="AA112" s="14"/>
      <c r="AG112" t="s">
        <v>369</v>
      </c>
      <c r="AH112" t="s">
        <v>122</v>
      </c>
      <c r="AI112" t="s">
        <v>61</v>
      </c>
    </row>
    <row r="113" spans="2:35" x14ac:dyDescent="0.3">
      <c r="B113" t="s">
        <v>38</v>
      </c>
      <c r="C113" t="s">
        <v>370</v>
      </c>
      <c r="D113" t="s">
        <v>938</v>
      </c>
      <c r="F113" t="s">
        <v>23</v>
      </c>
      <c r="G113" t="s">
        <v>371</v>
      </c>
      <c r="H113" t="b">
        <v>1</v>
      </c>
      <c r="I113" t="s">
        <v>68</v>
      </c>
      <c r="J113" t="b">
        <v>1</v>
      </c>
      <c r="O113" s="14"/>
      <c r="P113" s="14"/>
      <c r="Y113" s="14" t="s">
        <v>62</v>
      </c>
      <c r="Z113" s="14"/>
      <c r="AA113" s="14"/>
      <c r="AG113" t="s">
        <v>372</v>
      </c>
      <c r="AH113" t="s">
        <v>122</v>
      </c>
      <c r="AI113" t="s">
        <v>61</v>
      </c>
    </row>
    <row r="114" spans="2:35" x14ac:dyDescent="0.3">
      <c r="B114" t="s">
        <v>38</v>
      </c>
      <c r="C114" t="s">
        <v>373</v>
      </c>
      <c r="D114" t="s">
        <v>939</v>
      </c>
      <c r="F114" t="s">
        <v>24</v>
      </c>
      <c r="G114" t="s">
        <v>374</v>
      </c>
      <c r="H114" t="b">
        <v>0</v>
      </c>
      <c r="I114" t="s">
        <v>13</v>
      </c>
      <c r="J114" t="b">
        <v>0</v>
      </c>
      <c r="Y114" t="s">
        <v>62</v>
      </c>
      <c r="AG114" t="s">
        <v>375</v>
      </c>
      <c r="AI114" t="s">
        <v>61</v>
      </c>
    </row>
    <row r="115" spans="2:35" x14ac:dyDescent="0.3">
      <c r="B115" t="s">
        <v>38</v>
      </c>
      <c r="C115" t="s">
        <v>376</v>
      </c>
      <c r="D115" t="s">
        <v>940</v>
      </c>
      <c r="F115" t="s">
        <v>25</v>
      </c>
      <c r="G115" t="s">
        <v>374</v>
      </c>
      <c r="H115" t="b">
        <v>0</v>
      </c>
      <c r="I115" t="s">
        <v>13</v>
      </c>
      <c r="J115" t="b">
        <v>0</v>
      </c>
      <c r="O115" s="14"/>
      <c r="P115" s="14"/>
      <c r="Y115" s="14" t="s">
        <v>62</v>
      </c>
      <c r="Z115" s="14"/>
      <c r="AA115" s="14"/>
      <c r="AG115" t="s">
        <v>369</v>
      </c>
      <c r="AI115" t="s">
        <v>61</v>
      </c>
    </row>
    <row r="116" spans="2:35" x14ac:dyDescent="0.3">
      <c r="B116" t="s">
        <v>38</v>
      </c>
      <c r="C116" t="s">
        <v>377</v>
      </c>
      <c r="D116" t="s">
        <v>992</v>
      </c>
      <c r="F116" t="s">
        <v>26</v>
      </c>
      <c r="G116" t="s">
        <v>378</v>
      </c>
      <c r="H116" t="b">
        <v>1</v>
      </c>
      <c r="I116" t="s">
        <v>68</v>
      </c>
      <c r="J116" t="b">
        <v>1</v>
      </c>
      <c r="O116" s="14"/>
      <c r="P116" s="14"/>
      <c r="Y116" s="14" t="s">
        <v>69</v>
      </c>
      <c r="Z116" s="14"/>
      <c r="AA116" s="14"/>
      <c r="AG116" t="s">
        <v>379</v>
      </c>
      <c r="AI116" t="s">
        <v>61</v>
      </c>
    </row>
    <row r="117" spans="2:35" x14ac:dyDescent="0.3">
      <c r="B117" t="s">
        <v>38</v>
      </c>
      <c r="C117" t="s">
        <v>380</v>
      </c>
      <c r="D117" t="s">
        <v>941</v>
      </c>
      <c r="F117" t="s">
        <v>27</v>
      </c>
      <c r="G117" t="s">
        <v>381</v>
      </c>
      <c r="H117" t="b">
        <v>1</v>
      </c>
      <c r="I117" t="s">
        <v>68</v>
      </c>
      <c r="J117" t="b">
        <v>1</v>
      </c>
      <c r="O117" s="14"/>
      <c r="P117" s="14"/>
      <c r="Y117" s="14" t="s">
        <v>62</v>
      </c>
      <c r="Z117" s="14"/>
      <c r="AA117" s="14"/>
      <c r="AG117" t="s">
        <v>382</v>
      </c>
      <c r="AH117" t="s">
        <v>122</v>
      </c>
      <c r="AI117" t="s">
        <v>61</v>
      </c>
    </row>
    <row r="118" spans="2:35" x14ac:dyDescent="0.3">
      <c r="B118" t="s">
        <v>63</v>
      </c>
      <c r="C118" t="s">
        <v>383</v>
      </c>
      <c r="D118" t="s">
        <v>384</v>
      </c>
      <c r="E118">
        <v>12</v>
      </c>
      <c r="O118" s="14"/>
      <c r="P118" s="14"/>
      <c r="Y118" s="14"/>
      <c r="Z118" s="14"/>
      <c r="AA118" s="14"/>
      <c r="AI118" t="s">
        <v>61</v>
      </c>
    </row>
    <row r="119" spans="2:35" x14ac:dyDescent="0.3">
      <c r="B119" t="s">
        <v>38</v>
      </c>
      <c r="C119" t="s">
        <v>385</v>
      </c>
      <c r="D119" t="s">
        <v>386</v>
      </c>
      <c r="F119" t="s">
        <v>10</v>
      </c>
      <c r="G119" t="s">
        <v>387</v>
      </c>
      <c r="H119" t="b">
        <v>1</v>
      </c>
      <c r="I119" t="s">
        <v>68</v>
      </c>
      <c r="J119" t="b">
        <v>1</v>
      </c>
      <c r="O119" s="14"/>
      <c r="P119" s="14"/>
      <c r="Y119" s="14" t="s">
        <v>62</v>
      </c>
      <c r="Z119" s="14"/>
      <c r="AA119" s="14"/>
      <c r="AG119" t="s">
        <v>388</v>
      </c>
      <c r="AI119" t="s">
        <v>61</v>
      </c>
    </row>
    <row r="120" spans="2:35" x14ac:dyDescent="0.3">
      <c r="B120" t="s">
        <v>38</v>
      </c>
      <c r="C120" t="s">
        <v>389</v>
      </c>
      <c r="D120" t="s">
        <v>390</v>
      </c>
      <c r="F120" t="s">
        <v>11</v>
      </c>
      <c r="G120" t="s">
        <v>391</v>
      </c>
      <c r="H120" t="b">
        <v>1</v>
      </c>
      <c r="I120" t="s">
        <v>68</v>
      </c>
      <c r="J120" t="b">
        <v>1</v>
      </c>
      <c r="O120" s="14"/>
      <c r="P120" s="14"/>
      <c r="Y120" s="14" t="s">
        <v>69</v>
      </c>
      <c r="Z120" s="14"/>
      <c r="AA120" s="14"/>
      <c r="AG120" t="s">
        <v>388</v>
      </c>
      <c r="AI120" t="s">
        <v>61</v>
      </c>
    </row>
    <row r="121" spans="2:35" x14ac:dyDescent="0.3">
      <c r="B121" t="s">
        <v>38</v>
      </c>
      <c r="C121" t="s">
        <v>392</v>
      </c>
      <c r="D121" t="s">
        <v>393</v>
      </c>
      <c r="F121" t="s">
        <v>12</v>
      </c>
      <c r="G121" t="s">
        <v>394</v>
      </c>
      <c r="H121" t="b">
        <v>1</v>
      </c>
      <c r="I121" t="s">
        <v>68</v>
      </c>
      <c r="J121" t="b">
        <v>1</v>
      </c>
      <c r="O121" s="14"/>
      <c r="P121" s="14"/>
      <c r="Y121" s="14" t="s">
        <v>62</v>
      </c>
      <c r="Z121" s="14"/>
      <c r="AA121" s="14"/>
      <c r="AG121" t="s">
        <v>395</v>
      </c>
      <c r="AI121" t="s">
        <v>61</v>
      </c>
    </row>
    <row r="122" spans="2:35" x14ac:dyDescent="0.3">
      <c r="B122" t="s">
        <v>38</v>
      </c>
      <c r="C122" t="s">
        <v>396</v>
      </c>
      <c r="D122" t="s">
        <v>397</v>
      </c>
      <c r="F122" t="s">
        <v>14</v>
      </c>
      <c r="G122" t="s">
        <v>398</v>
      </c>
      <c r="H122" t="b">
        <v>1</v>
      </c>
      <c r="I122" t="s">
        <v>68</v>
      </c>
      <c r="J122" t="b">
        <v>1</v>
      </c>
      <c r="O122" s="14"/>
      <c r="P122" s="14"/>
      <c r="Y122" s="14" t="s">
        <v>69</v>
      </c>
      <c r="Z122" s="14"/>
      <c r="AA122" s="14"/>
      <c r="AG122" t="s">
        <v>395</v>
      </c>
      <c r="AI122" t="s">
        <v>61</v>
      </c>
    </row>
    <row r="123" spans="2:35" x14ac:dyDescent="0.3">
      <c r="B123" t="s">
        <v>39</v>
      </c>
      <c r="C123" t="s">
        <v>399</v>
      </c>
      <c r="F123" t="s">
        <v>15</v>
      </c>
      <c r="K123" t="b">
        <v>0</v>
      </c>
      <c r="V123" t="s">
        <v>5</v>
      </c>
      <c r="Y123" t="s">
        <v>6</v>
      </c>
    </row>
    <row r="124" spans="2:35" x14ac:dyDescent="0.3">
      <c r="B124" t="s">
        <v>39</v>
      </c>
      <c r="C124" t="s">
        <v>400</v>
      </c>
      <c r="F124" t="s">
        <v>16</v>
      </c>
      <c r="K124" t="b">
        <v>0</v>
      </c>
      <c r="O124" s="14"/>
      <c r="P124" s="14"/>
      <c r="V124" t="s">
        <v>5</v>
      </c>
      <c r="Y124" s="14" t="s">
        <v>6</v>
      </c>
      <c r="Z124" s="14"/>
      <c r="AA124" s="14"/>
    </row>
    <row r="125" spans="2:35" x14ac:dyDescent="0.3">
      <c r="B125" t="s">
        <v>39</v>
      </c>
      <c r="C125" t="s">
        <v>401</v>
      </c>
      <c r="F125" t="s">
        <v>18</v>
      </c>
      <c r="K125" t="b">
        <v>0</v>
      </c>
      <c r="O125" s="14"/>
      <c r="P125" s="14"/>
      <c r="V125" t="s">
        <v>5</v>
      </c>
      <c r="Y125" s="14" t="s">
        <v>6</v>
      </c>
      <c r="Z125" s="14"/>
      <c r="AA125" s="14"/>
    </row>
    <row r="126" spans="2:35" x14ac:dyDescent="0.3">
      <c r="B126" t="s">
        <v>39</v>
      </c>
      <c r="C126" t="s">
        <v>402</v>
      </c>
      <c r="F126" t="s">
        <v>19</v>
      </c>
      <c r="K126" t="b">
        <v>0</v>
      </c>
      <c r="O126" s="14"/>
      <c r="P126" s="14"/>
      <c r="V126" t="s">
        <v>5</v>
      </c>
      <c r="Y126" s="14" t="s">
        <v>6</v>
      </c>
      <c r="Z126" s="14"/>
      <c r="AA126" s="14"/>
    </row>
    <row r="127" spans="2:35" x14ac:dyDescent="0.3">
      <c r="B127" t="s">
        <v>39</v>
      </c>
      <c r="C127" t="s">
        <v>403</v>
      </c>
      <c r="F127" t="s">
        <v>20</v>
      </c>
      <c r="K127" t="b">
        <v>0</v>
      </c>
      <c r="O127" s="14"/>
      <c r="P127" s="14"/>
      <c r="V127" t="s">
        <v>5</v>
      </c>
      <c r="Y127" s="14" t="s">
        <v>6</v>
      </c>
      <c r="Z127" s="14"/>
      <c r="AA127" s="14"/>
    </row>
    <row r="128" spans="2:35" x14ac:dyDescent="0.3">
      <c r="B128" t="s">
        <v>39</v>
      </c>
      <c r="C128" t="s">
        <v>404</v>
      </c>
      <c r="F128" t="s">
        <v>21</v>
      </c>
      <c r="K128" t="b">
        <v>0</v>
      </c>
      <c r="O128" s="14"/>
      <c r="P128" s="14"/>
      <c r="V128" t="s">
        <v>5</v>
      </c>
      <c r="Y128" s="14" t="s">
        <v>6</v>
      </c>
      <c r="Z128" s="14"/>
      <c r="AA128" s="14"/>
    </row>
    <row r="129" spans="2:35" x14ac:dyDescent="0.3">
      <c r="B129" t="s">
        <v>39</v>
      </c>
      <c r="C129" t="s">
        <v>405</v>
      </c>
      <c r="F129" t="s">
        <v>22</v>
      </c>
      <c r="K129" t="b">
        <v>0</v>
      </c>
      <c r="O129" s="14"/>
      <c r="P129" s="14"/>
      <c r="V129" t="s">
        <v>5</v>
      </c>
      <c r="Y129" s="14" t="s">
        <v>6</v>
      </c>
      <c r="Z129" s="14"/>
      <c r="AA129" s="14"/>
    </row>
    <row r="130" spans="2:35" x14ac:dyDescent="0.3">
      <c r="B130" t="s">
        <v>39</v>
      </c>
      <c r="C130" t="s">
        <v>406</v>
      </c>
      <c r="F130" t="s">
        <v>23</v>
      </c>
      <c r="K130" t="b">
        <v>0</v>
      </c>
      <c r="O130" s="14"/>
      <c r="P130" s="14"/>
      <c r="V130" t="s">
        <v>5</v>
      </c>
      <c r="Y130" s="14" t="s">
        <v>6</v>
      </c>
      <c r="Z130" s="14"/>
      <c r="AA130" s="14"/>
    </row>
    <row r="131" spans="2:35" x14ac:dyDescent="0.3">
      <c r="B131" t="s">
        <v>39</v>
      </c>
      <c r="C131" t="s">
        <v>407</v>
      </c>
      <c r="F131" t="s">
        <v>24</v>
      </c>
      <c r="K131" t="b">
        <v>0</v>
      </c>
      <c r="O131" s="14"/>
      <c r="P131" s="14"/>
      <c r="V131" t="s">
        <v>5</v>
      </c>
      <c r="Y131" s="14" t="s">
        <v>6</v>
      </c>
      <c r="Z131" s="14"/>
      <c r="AA131" s="14"/>
    </row>
    <row r="132" spans="2:35" x14ac:dyDescent="0.3">
      <c r="B132" t="s">
        <v>39</v>
      </c>
      <c r="C132" t="s">
        <v>408</v>
      </c>
      <c r="F132" t="s">
        <v>25</v>
      </c>
      <c r="K132" t="b">
        <v>0</v>
      </c>
      <c r="O132" s="14"/>
      <c r="P132" s="14"/>
      <c r="V132" t="s">
        <v>5</v>
      </c>
      <c r="Y132" s="14" t="s">
        <v>6</v>
      </c>
      <c r="Z132" s="14"/>
      <c r="AA132" s="14"/>
    </row>
    <row r="133" spans="2:35" x14ac:dyDescent="0.3">
      <c r="B133" t="s">
        <v>39</v>
      </c>
      <c r="C133" t="s">
        <v>409</v>
      </c>
      <c r="F133" t="s">
        <v>26</v>
      </c>
      <c r="K133" t="b">
        <v>0</v>
      </c>
      <c r="O133" s="14"/>
      <c r="P133" s="14"/>
      <c r="V133" t="s">
        <v>5</v>
      </c>
      <c r="Y133" s="14" t="s">
        <v>6</v>
      </c>
      <c r="Z133" s="14"/>
      <c r="AA133" s="14"/>
    </row>
    <row r="134" spans="2:35" x14ac:dyDescent="0.3">
      <c r="B134" t="s">
        <v>39</v>
      </c>
      <c r="C134" t="s">
        <v>410</v>
      </c>
      <c r="F134" t="s">
        <v>27</v>
      </c>
      <c r="K134" t="b">
        <v>0</v>
      </c>
      <c r="O134" s="14"/>
      <c r="P134" s="14"/>
      <c r="V134" t="s">
        <v>5</v>
      </c>
      <c r="Y134" s="14" t="s">
        <v>6</v>
      </c>
      <c r="Z134" s="14"/>
      <c r="AA134" s="14"/>
    </row>
    <row r="135" spans="2:35" x14ac:dyDescent="0.3">
      <c r="B135" t="s">
        <v>411</v>
      </c>
      <c r="C135" t="s">
        <v>412</v>
      </c>
      <c r="D135" t="s">
        <v>413</v>
      </c>
      <c r="E135">
        <v>13</v>
      </c>
      <c r="O135" s="14"/>
      <c r="P135" s="14"/>
      <c r="Y135" s="14"/>
      <c r="Z135" s="14"/>
      <c r="AA135" s="14"/>
      <c r="AI135" t="s">
        <v>61</v>
      </c>
    </row>
    <row r="136" spans="2:35" x14ac:dyDescent="0.3">
      <c r="B136" t="s">
        <v>17</v>
      </c>
      <c r="C136" t="s">
        <v>414</v>
      </c>
      <c r="D136" t="s">
        <v>942</v>
      </c>
      <c r="F136" t="s">
        <v>10</v>
      </c>
      <c r="G136" t="s">
        <v>414</v>
      </c>
      <c r="L136" t="s">
        <v>67</v>
      </c>
      <c r="O136" s="14"/>
      <c r="P136" s="14"/>
      <c r="S136" t="s">
        <v>7</v>
      </c>
      <c r="W136" t="b">
        <v>1</v>
      </c>
      <c r="X136" t="s">
        <v>7</v>
      </c>
      <c r="Y136" s="14" t="s">
        <v>415</v>
      </c>
      <c r="Z136" s="14"/>
      <c r="AA136" s="14"/>
      <c r="AG136" t="s">
        <v>414</v>
      </c>
      <c r="AI136" t="s">
        <v>61</v>
      </c>
    </row>
    <row r="137" spans="2:35" x14ac:dyDescent="0.3">
      <c r="B137" t="s">
        <v>17</v>
      </c>
      <c r="C137" t="s">
        <v>416</v>
      </c>
      <c r="D137" t="s">
        <v>417</v>
      </c>
      <c r="F137" t="s">
        <v>11</v>
      </c>
      <c r="G137" t="s">
        <v>418</v>
      </c>
      <c r="L137" t="s">
        <v>67</v>
      </c>
      <c r="O137" s="14"/>
      <c r="P137" s="14"/>
      <c r="S137" t="s">
        <v>7</v>
      </c>
      <c r="W137" t="b">
        <v>1</v>
      </c>
      <c r="X137" t="s">
        <v>7</v>
      </c>
      <c r="Y137" s="14" t="s">
        <v>415</v>
      </c>
      <c r="Z137" s="14"/>
      <c r="AA137" s="14"/>
      <c r="AG137" t="s">
        <v>419</v>
      </c>
      <c r="AI137" t="s">
        <v>61</v>
      </c>
    </row>
    <row r="138" spans="2:35" x14ac:dyDescent="0.3">
      <c r="B138" t="s">
        <v>235</v>
      </c>
      <c r="C138" t="s">
        <v>420</v>
      </c>
      <c r="D138" t="s">
        <v>421</v>
      </c>
      <c r="F138" t="s">
        <v>12</v>
      </c>
      <c r="G138" t="s">
        <v>422</v>
      </c>
      <c r="M138" t="s">
        <v>8</v>
      </c>
      <c r="N138" t="s">
        <v>9</v>
      </c>
      <c r="O138" s="14">
        <v>0</v>
      </c>
      <c r="P138" s="14">
        <v>1</v>
      </c>
      <c r="S138" s="14">
        <v>0</v>
      </c>
      <c r="W138" t="b">
        <v>1</v>
      </c>
      <c r="X138">
        <v>0</v>
      </c>
      <c r="Y138" s="14">
        <v>0.50980000000000003</v>
      </c>
      <c r="AG138" t="s">
        <v>423</v>
      </c>
      <c r="AH138" t="s">
        <v>122</v>
      </c>
      <c r="AI138" t="s">
        <v>61</v>
      </c>
    </row>
    <row r="139" spans="2:35" x14ac:dyDescent="0.3">
      <c r="B139" t="s">
        <v>235</v>
      </c>
      <c r="C139" t="s">
        <v>424</v>
      </c>
      <c r="D139" t="s">
        <v>425</v>
      </c>
      <c r="F139" t="s">
        <v>14</v>
      </c>
      <c r="G139" t="s">
        <v>426</v>
      </c>
      <c r="M139" t="s">
        <v>8</v>
      </c>
      <c r="N139" t="s">
        <v>9</v>
      </c>
      <c r="O139" t="s">
        <v>427</v>
      </c>
      <c r="P139" t="s">
        <v>428</v>
      </c>
      <c r="S139" t="s">
        <v>6</v>
      </c>
      <c r="W139" t="b">
        <v>1</v>
      </c>
      <c r="X139">
        <v>0</v>
      </c>
      <c r="Y139" t="s">
        <v>429</v>
      </c>
      <c r="AG139" t="s">
        <v>423</v>
      </c>
      <c r="AH139" t="s">
        <v>122</v>
      </c>
      <c r="AI139" t="s">
        <v>61</v>
      </c>
    </row>
    <row r="140" spans="2:35" x14ac:dyDescent="0.3">
      <c r="B140" t="s">
        <v>235</v>
      </c>
      <c r="C140" t="s">
        <v>430</v>
      </c>
      <c r="D140" t="s">
        <v>431</v>
      </c>
      <c r="F140" t="s">
        <v>15</v>
      </c>
      <c r="G140" t="s">
        <v>432</v>
      </c>
      <c r="M140" t="s">
        <v>8</v>
      </c>
      <c r="N140" t="s">
        <v>9</v>
      </c>
      <c r="O140" s="14">
        <v>0</v>
      </c>
      <c r="P140" s="14">
        <v>1</v>
      </c>
      <c r="S140" s="14">
        <v>0</v>
      </c>
      <c r="W140" t="b">
        <v>1</v>
      </c>
      <c r="X140">
        <v>0</v>
      </c>
      <c r="Y140" s="14">
        <v>0.43809999999999999</v>
      </c>
      <c r="AG140" t="s">
        <v>433</v>
      </c>
      <c r="AH140" t="s">
        <v>122</v>
      </c>
      <c r="AI140" t="s">
        <v>61</v>
      </c>
    </row>
    <row r="141" spans="2:35" x14ac:dyDescent="0.3">
      <c r="B141" t="s">
        <v>235</v>
      </c>
      <c r="C141" t="s">
        <v>434</v>
      </c>
      <c r="D141" t="s">
        <v>435</v>
      </c>
      <c r="F141" t="s">
        <v>16</v>
      </c>
      <c r="G141" t="s">
        <v>436</v>
      </c>
      <c r="M141" t="s">
        <v>8</v>
      </c>
      <c r="N141" t="s">
        <v>9</v>
      </c>
      <c r="O141" t="s">
        <v>427</v>
      </c>
      <c r="P141" t="s">
        <v>428</v>
      </c>
      <c r="S141" t="s">
        <v>6</v>
      </c>
      <c r="W141" t="b">
        <v>1</v>
      </c>
      <c r="X141">
        <v>0</v>
      </c>
      <c r="Y141" t="s">
        <v>437</v>
      </c>
      <c r="AG141" t="s">
        <v>433</v>
      </c>
      <c r="AH141" t="s">
        <v>122</v>
      </c>
      <c r="AI141" t="s">
        <v>61</v>
      </c>
    </row>
    <row r="142" spans="2:35" x14ac:dyDescent="0.3">
      <c r="B142" t="s">
        <v>235</v>
      </c>
      <c r="C142" t="s">
        <v>438</v>
      </c>
      <c r="D142" t="s">
        <v>439</v>
      </c>
      <c r="F142" t="s">
        <v>18</v>
      </c>
      <c r="G142" t="s">
        <v>440</v>
      </c>
      <c r="M142" t="s">
        <v>8</v>
      </c>
      <c r="N142" t="s">
        <v>9</v>
      </c>
      <c r="O142" s="14">
        <v>0</v>
      </c>
      <c r="P142" s="14">
        <v>1</v>
      </c>
      <c r="S142" s="14">
        <v>0</v>
      </c>
      <c r="W142" t="b">
        <v>1</v>
      </c>
      <c r="X142">
        <v>0</v>
      </c>
      <c r="Y142" s="14">
        <v>0.54269999999999996</v>
      </c>
      <c r="AG142" t="s">
        <v>441</v>
      </c>
      <c r="AH142" t="s">
        <v>122</v>
      </c>
      <c r="AI142" t="s">
        <v>61</v>
      </c>
    </row>
    <row r="143" spans="2:35" x14ac:dyDescent="0.3">
      <c r="B143" t="s">
        <v>235</v>
      </c>
      <c r="C143" t="s">
        <v>442</v>
      </c>
      <c r="D143" t="s">
        <v>443</v>
      </c>
      <c r="F143" t="s">
        <v>19</v>
      </c>
      <c r="G143" t="s">
        <v>444</v>
      </c>
      <c r="M143" t="s">
        <v>8</v>
      </c>
      <c r="N143" t="s">
        <v>9</v>
      </c>
      <c r="O143" t="s">
        <v>427</v>
      </c>
      <c r="P143" t="s">
        <v>428</v>
      </c>
      <c r="S143" t="s">
        <v>6</v>
      </c>
      <c r="W143" t="b">
        <v>1</v>
      </c>
      <c r="X143">
        <v>0</v>
      </c>
      <c r="Y143" t="s">
        <v>445</v>
      </c>
      <c r="AG143" t="s">
        <v>446</v>
      </c>
      <c r="AH143" t="s">
        <v>122</v>
      </c>
      <c r="AI143" t="s">
        <v>61</v>
      </c>
    </row>
    <row r="144" spans="2:35" x14ac:dyDescent="0.3">
      <c r="B144" t="s">
        <v>235</v>
      </c>
      <c r="C144" t="s">
        <v>447</v>
      </c>
      <c r="D144" t="s">
        <v>943</v>
      </c>
      <c r="F144" t="s">
        <v>20</v>
      </c>
      <c r="G144" t="s">
        <v>448</v>
      </c>
      <c r="M144" t="s">
        <v>8</v>
      </c>
      <c r="N144" t="s">
        <v>9</v>
      </c>
      <c r="O144" t="s">
        <v>427</v>
      </c>
      <c r="P144" t="s">
        <v>428</v>
      </c>
      <c r="S144" t="s">
        <v>6</v>
      </c>
      <c r="W144" t="b">
        <v>1</v>
      </c>
      <c r="X144">
        <v>0</v>
      </c>
      <c r="Y144" t="s">
        <v>427</v>
      </c>
      <c r="AG144" t="s">
        <v>449</v>
      </c>
      <c r="AI144" t="s">
        <v>61</v>
      </c>
    </row>
    <row r="145" spans="2:35" x14ac:dyDescent="0.3">
      <c r="B145" t="s">
        <v>17</v>
      </c>
      <c r="C145" t="s">
        <v>450</v>
      </c>
      <c r="D145" t="s">
        <v>944</v>
      </c>
      <c r="F145" t="s">
        <v>21</v>
      </c>
      <c r="G145" t="s">
        <v>451</v>
      </c>
      <c r="L145" t="s">
        <v>67</v>
      </c>
      <c r="S145" t="s">
        <v>7</v>
      </c>
      <c r="W145" t="b">
        <v>1</v>
      </c>
      <c r="X145" t="s">
        <v>7</v>
      </c>
      <c r="Y145" t="s">
        <v>415</v>
      </c>
      <c r="AG145" t="s">
        <v>452</v>
      </c>
      <c r="AI145" t="s">
        <v>61</v>
      </c>
    </row>
    <row r="146" spans="2:35" x14ac:dyDescent="0.3">
      <c r="B146" t="s">
        <v>17</v>
      </c>
      <c r="C146" t="s">
        <v>453</v>
      </c>
      <c r="D146" t="s">
        <v>454</v>
      </c>
      <c r="F146" t="s">
        <v>22</v>
      </c>
      <c r="G146" t="s">
        <v>455</v>
      </c>
      <c r="L146" t="s">
        <v>67</v>
      </c>
      <c r="S146" t="s">
        <v>7</v>
      </c>
      <c r="W146" t="b">
        <v>1</v>
      </c>
      <c r="X146" t="s">
        <v>7</v>
      </c>
      <c r="Y146" t="s">
        <v>456</v>
      </c>
      <c r="AG146" t="s">
        <v>457</v>
      </c>
      <c r="AH146" t="s">
        <v>122</v>
      </c>
      <c r="AI146" t="s">
        <v>61</v>
      </c>
    </row>
    <row r="147" spans="2:35" x14ac:dyDescent="0.3">
      <c r="B147" t="s">
        <v>17</v>
      </c>
      <c r="C147" t="s">
        <v>458</v>
      </c>
      <c r="D147" t="s">
        <v>459</v>
      </c>
      <c r="F147" t="s">
        <v>23</v>
      </c>
      <c r="G147" t="s">
        <v>460</v>
      </c>
      <c r="L147" t="s">
        <v>67</v>
      </c>
      <c r="S147" t="s">
        <v>7</v>
      </c>
      <c r="W147" t="b">
        <v>1</v>
      </c>
      <c r="X147" t="s">
        <v>7</v>
      </c>
      <c r="Y147" t="s">
        <v>461</v>
      </c>
      <c r="AG147" t="s">
        <v>462</v>
      </c>
      <c r="AH147" t="s">
        <v>122</v>
      </c>
      <c r="AI147" t="s">
        <v>61</v>
      </c>
    </row>
    <row r="148" spans="2:35" x14ac:dyDescent="0.3">
      <c r="B148" t="s">
        <v>17</v>
      </c>
      <c r="C148" t="s">
        <v>463</v>
      </c>
      <c r="D148" t="s">
        <v>464</v>
      </c>
      <c r="F148" t="s">
        <v>24</v>
      </c>
      <c r="G148" t="s">
        <v>465</v>
      </c>
      <c r="L148" t="s">
        <v>67</v>
      </c>
      <c r="S148" t="s">
        <v>7</v>
      </c>
      <c r="W148" t="b">
        <v>1</v>
      </c>
      <c r="X148" t="s">
        <v>7</v>
      </c>
      <c r="Y148" t="s">
        <v>415</v>
      </c>
      <c r="AG148" t="s">
        <v>466</v>
      </c>
      <c r="AI148" t="s">
        <v>61</v>
      </c>
    </row>
    <row r="149" spans="2:35" x14ac:dyDescent="0.3">
      <c r="B149" t="s">
        <v>17</v>
      </c>
      <c r="C149" t="s">
        <v>467</v>
      </c>
      <c r="D149" t="s">
        <v>468</v>
      </c>
      <c r="F149" t="s">
        <v>25</v>
      </c>
      <c r="G149" t="s">
        <v>469</v>
      </c>
      <c r="L149" t="s">
        <v>67</v>
      </c>
      <c r="S149" t="s">
        <v>7</v>
      </c>
      <c r="W149" t="b">
        <v>1</v>
      </c>
      <c r="X149" t="s">
        <v>7</v>
      </c>
      <c r="Y149" t="s">
        <v>415</v>
      </c>
      <c r="AG149" t="s">
        <v>470</v>
      </c>
      <c r="AI149" t="s">
        <v>61</v>
      </c>
    </row>
    <row r="150" spans="2:35" x14ac:dyDescent="0.3">
      <c r="B150" t="s">
        <v>235</v>
      </c>
      <c r="C150" t="s">
        <v>471</v>
      </c>
      <c r="D150" t="s">
        <v>472</v>
      </c>
      <c r="F150" t="s">
        <v>26</v>
      </c>
      <c r="G150" t="s">
        <v>473</v>
      </c>
      <c r="M150" t="s">
        <v>8</v>
      </c>
      <c r="N150" t="s">
        <v>9</v>
      </c>
      <c r="O150" t="s">
        <v>474</v>
      </c>
      <c r="P150" t="s">
        <v>475</v>
      </c>
      <c r="S150" t="s">
        <v>474</v>
      </c>
      <c r="W150" t="b">
        <v>1</v>
      </c>
      <c r="X150">
        <v>0</v>
      </c>
      <c r="Y150" t="s">
        <v>476</v>
      </c>
      <c r="AG150" t="s">
        <v>477</v>
      </c>
      <c r="AH150" t="s">
        <v>122</v>
      </c>
      <c r="AI150" t="s">
        <v>61</v>
      </c>
    </row>
    <row r="151" spans="2:35" x14ac:dyDescent="0.3">
      <c r="B151" t="s">
        <v>235</v>
      </c>
      <c r="C151" t="s">
        <v>478</v>
      </c>
      <c r="D151" t="s">
        <v>479</v>
      </c>
      <c r="F151" t="s">
        <v>27</v>
      </c>
      <c r="G151" t="s">
        <v>480</v>
      </c>
      <c r="M151" t="s">
        <v>8</v>
      </c>
      <c r="N151" t="s">
        <v>9</v>
      </c>
      <c r="O151" t="s">
        <v>474</v>
      </c>
      <c r="P151" t="s">
        <v>475</v>
      </c>
      <c r="S151" t="s">
        <v>474</v>
      </c>
      <c r="W151" t="b">
        <v>1</v>
      </c>
      <c r="X151">
        <v>0</v>
      </c>
      <c r="Y151" t="s">
        <v>481</v>
      </c>
      <c r="AG151" t="s">
        <v>482</v>
      </c>
      <c r="AH151" t="s">
        <v>122</v>
      </c>
      <c r="AI151" t="s">
        <v>61</v>
      </c>
    </row>
    <row r="152" spans="2:35" x14ac:dyDescent="0.3">
      <c r="B152" t="s">
        <v>411</v>
      </c>
      <c r="C152" t="s">
        <v>483</v>
      </c>
      <c r="D152" t="s">
        <v>484</v>
      </c>
      <c r="E152">
        <v>14</v>
      </c>
      <c r="AI152" t="s">
        <v>61</v>
      </c>
    </row>
    <row r="153" spans="2:35" x14ac:dyDescent="0.3">
      <c r="B153" t="s">
        <v>17</v>
      </c>
      <c r="C153" t="s">
        <v>485</v>
      </c>
      <c r="D153" t="s">
        <v>945</v>
      </c>
      <c r="F153" t="s">
        <v>10</v>
      </c>
      <c r="G153" t="s">
        <v>486</v>
      </c>
      <c r="L153" t="s">
        <v>67</v>
      </c>
      <c r="S153" t="s">
        <v>7</v>
      </c>
      <c r="W153" t="b">
        <v>1</v>
      </c>
      <c r="X153" t="s">
        <v>7</v>
      </c>
      <c r="Y153" t="s">
        <v>415</v>
      </c>
      <c r="AG153" t="s">
        <v>487</v>
      </c>
      <c r="AI153" t="s">
        <v>61</v>
      </c>
    </row>
    <row r="154" spans="2:35" x14ac:dyDescent="0.3">
      <c r="B154" t="s">
        <v>17</v>
      </c>
      <c r="C154" t="s">
        <v>488</v>
      </c>
      <c r="D154" t="s">
        <v>946</v>
      </c>
      <c r="F154" t="s">
        <v>11</v>
      </c>
      <c r="G154" t="s">
        <v>489</v>
      </c>
      <c r="L154" t="s">
        <v>67</v>
      </c>
      <c r="S154" t="s">
        <v>7</v>
      </c>
      <c r="W154" t="b">
        <v>1</v>
      </c>
      <c r="X154" t="s">
        <v>7</v>
      </c>
      <c r="Y154" t="s">
        <v>415</v>
      </c>
      <c r="AG154" t="s">
        <v>487</v>
      </c>
      <c r="AI154" t="s">
        <v>61</v>
      </c>
    </row>
    <row r="155" spans="2:35" x14ac:dyDescent="0.3">
      <c r="B155" t="s">
        <v>222</v>
      </c>
      <c r="C155" t="s">
        <v>490</v>
      </c>
      <c r="D155" t="s">
        <v>491</v>
      </c>
      <c r="F155" t="s">
        <v>12</v>
      </c>
      <c r="G155" t="s">
        <v>492</v>
      </c>
      <c r="M155" t="s">
        <v>226</v>
      </c>
      <c r="N155" t="s">
        <v>227</v>
      </c>
      <c r="O155" t="s">
        <v>228</v>
      </c>
      <c r="P155" t="s">
        <v>229</v>
      </c>
      <c r="S155" t="s">
        <v>228</v>
      </c>
      <c r="W155" t="b">
        <v>1</v>
      </c>
      <c r="X155">
        <v>0</v>
      </c>
      <c r="Y155" t="s">
        <v>493</v>
      </c>
      <c r="AG155" t="s">
        <v>139</v>
      </c>
      <c r="AI155" t="s">
        <v>61</v>
      </c>
    </row>
    <row r="156" spans="2:35" x14ac:dyDescent="0.3">
      <c r="B156" t="s">
        <v>222</v>
      </c>
      <c r="C156" t="s">
        <v>494</v>
      </c>
      <c r="D156" t="s">
        <v>495</v>
      </c>
      <c r="F156" t="s">
        <v>14</v>
      </c>
      <c r="G156" t="s">
        <v>496</v>
      </c>
      <c r="M156" t="s">
        <v>226</v>
      </c>
      <c r="N156" t="s">
        <v>227</v>
      </c>
      <c r="O156" t="s">
        <v>228</v>
      </c>
      <c r="P156" t="s">
        <v>229</v>
      </c>
      <c r="S156" t="s">
        <v>228</v>
      </c>
      <c r="W156" t="b">
        <v>1</v>
      </c>
      <c r="X156">
        <v>0</v>
      </c>
      <c r="Y156" t="s">
        <v>493</v>
      </c>
      <c r="AG156" t="s">
        <v>143</v>
      </c>
      <c r="AI156" t="s">
        <v>61</v>
      </c>
    </row>
    <row r="157" spans="2:35" x14ac:dyDescent="0.3">
      <c r="B157" t="s">
        <v>235</v>
      </c>
      <c r="C157" t="s">
        <v>497</v>
      </c>
      <c r="D157" t="s">
        <v>947</v>
      </c>
      <c r="F157" t="s">
        <v>15</v>
      </c>
      <c r="G157" t="s">
        <v>498</v>
      </c>
      <c r="M157" t="s">
        <v>184</v>
      </c>
      <c r="N157" t="s">
        <v>9</v>
      </c>
      <c r="O157" s="14">
        <v>0</v>
      </c>
      <c r="P157" s="14">
        <v>1</v>
      </c>
      <c r="S157" s="14">
        <v>0</v>
      </c>
      <c r="W157" t="b">
        <v>1</v>
      </c>
      <c r="X157">
        <v>0</v>
      </c>
      <c r="Y157" s="14">
        <v>0.3639</v>
      </c>
      <c r="AG157" t="s">
        <v>206</v>
      </c>
      <c r="AI157" t="s">
        <v>61</v>
      </c>
    </row>
    <row r="158" spans="2:35" x14ac:dyDescent="0.3">
      <c r="B158" t="s">
        <v>235</v>
      </c>
      <c r="C158" t="s">
        <v>499</v>
      </c>
      <c r="D158" t="s">
        <v>948</v>
      </c>
      <c r="F158" t="s">
        <v>16</v>
      </c>
      <c r="G158" t="s">
        <v>500</v>
      </c>
      <c r="M158" t="s">
        <v>184</v>
      </c>
      <c r="N158" t="s">
        <v>9</v>
      </c>
      <c r="O158" s="14">
        <v>0</v>
      </c>
      <c r="P158" s="14">
        <v>1</v>
      </c>
      <c r="S158" s="14">
        <v>0</v>
      </c>
      <c r="W158" t="b">
        <v>1</v>
      </c>
      <c r="X158">
        <v>0</v>
      </c>
      <c r="Y158" s="14">
        <v>0.22140000000000001</v>
      </c>
      <c r="AG158" t="s">
        <v>210</v>
      </c>
      <c r="AI158" t="s">
        <v>61</v>
      </c>
    </row>
    <row r="159" spans="2:35" x14ac:dyDescent="0.3">
      <c r="B159" t="s">
        <v>235</v>
      </c>
      <c r="C159" t="s">
        <v>501</v>
      </c>
      <c r="D159" t="s">
        <v>985</v>
      </c>
      <c r="F159" t="s">
        <v>18</v>
      </c>
      <c r="G159" t="s">
        <v>502</v>
      </c>
      <c r="M159" t="s">
        <v>184</v>
      </c>
      <c r="N159" t="s">
        <v>9</v>
      </c>
      <c r="O159" s="14">
        <v>0</v>
      </c>
      <c r="P159" s="14">
        <v>1</v>
      </c>
      <c r="S159" s="14">
        <v>0</v>
      </c>
      <c r="W159" t="b">
        <v>1</v>
      </c>
      <c r="X159">
        <v>0</v>
      </c>
      <c r="Y159" s="14">
        <v>-0.25</v>
      </c>
      <c r="AG159" t="s">
        <v>213</v>
      </c>
      <c r="AI159" t="s">
        <v>61</v>
      </c>
    </row>
    <row r="160" spans="2:35" x14ac:dyDescent="0.3">
      <c r="B160" t="s">
        <v>235</v>
      </c>
      <c r="C160" t="s">
        <v>503</v>
      </c>
      <c r="D160" t="s">
        <v>986</v>
      </c>
      <c r="F160" t="s">
        <v>19</v>
      </c>
      <c r="G160" t="s">
        <v>504</v>
      </c>
      <c r="M160" t="s">
        <v>184</v>
      </c>
      <c r="N160" t="s">
        <v>9</v>
      </c>
      <c r="O160" s="14">
        <v>0</v>
      </c>
      <c r="P160" s="14">
        <v>1</v>
      </c>
      <c r="S160" s="14">
        <v>0</v>
      </c>
      <c r="W160" t="b">
        <v>1</v>
      </c>
      <c r="X160">
        <v>0</v>
      </c>
      <c r="Y160" s="14">
        <v>1.0125</v>
      </c>
      <c r="AG160" t="s">
        <v>216</v>
      </c>
      <c r="AI160" t="s">
        <v>61</v>
      </c>
    </row>
    <row r="161" spans="2:35" x14ac:dyDescent="0.3">
      <c r="B161" t="s">
        <v>235</v>
      </c>
      <c r="C161" t="s">
        <v>505</v>
      </c>
      <c r="D161" t="s">
        <v>506</v>
      </c>
      <c r="F161" t="s">
        <v>20</v>
      </c>
      <c r="G161" t="s">
        <v>507</v>
      </c>
      <c r="M161" t="s">
        <v>184</v>
      </c>
      <c r="N161" t="s">
        <v>9</v>
      </c>
      <c r="O161" s="14">
        <v>0</v>
      </c>
      <c r="P161" s="14">
        <v>1</v>
      </c>
      <c r="S161" s="14">
        <v>0</v>
      </c>
      <c r="W161" t="b">
        <v>1</v>
      </c>
      <c r="X161">
        <v>0</v>
      </c>
      <c r="Y161" s="14">
        <v>4.5999999999999999E-3</v>
      </c>
      <c r="AG161" t="s">
        <v>219</v>
      </c>
      <c r="AI161" t="s">
        <v>61</v>
      </c>
    </row>
    <row r="162" spans="2:35" x14ac:dyDescent="0.3">
      <c r="B162" t="s">
        <v>235</v>
      </c>
      <c r="C162" t="s">
        <v>508</v>
      </c>
      <c r="D162" t="s">
        <v>509</v>
      </c>
      <c r="F162" t="s">
        <v>21</v>
      </c>
      <c r="G162" t="s">
        <v>510</v>
      </c>
      <c r="M162" t="s">
        <v>184</v>
      </c>
      <c r="N162" t="s">
        <v>9</v>
      </c>
      <c r="O162" s="14">
        <v>0</v>
      </c>
      <c r="P162" s="14">
        <v>1</v>
      </c>
      <c r="S162" s="14">
        <v>0</v>
      </c>
      <c r="W162" t="b">
        <v>1</v>
      </c>
      <c r="X162">
        <v>0</v>
      </c>
      <c r="Y162" s="14">
        <v>-0.25</v>
      </c>
      <c r="AG162" t="s">
        <v>250</v>
      </c>
      <c r="AI162" t="s">
        <v>61</v>
      </c>
    </row>
    <row r="163" spans="2:35" x14ac:dyDescent="0.3">
      <c r="B163" t="s">
        <v>235</v>
      </c>
      <c r="C163" t="s">
        <v>511</v>
      </c>
      <c r="D163" t="s">
        <v>512</v>
      </c>
      <c r="F163" t="s">
        <v>22</v>
      </c>
      <c r="G163" t="s">
        <v>513</v>
      </c>
      <c r="M163" t="s">
        <v>8</v>
      </c>
      <c r="N163" t="s">
        <v>9</v>
      </c>
      <c r="O163" s="14">
        <v>0</v>
      </c>
      <c r="P163" s="14">
        <v>1</v>
      </c>
      <c r="S163" s="14">
        <v>0</v>
      </c>
      <c r="W163" t="b">
        <v>1</v>
      </c>
      <c r="X163">
        <v>0</v>
      </c>
      <c r="Y163" s="14">
        <v>0.49869999999999998</v>
      </c>
      <c r="AG163" t="s">
        <v>514</v>
      </c>
      <c r="AI163" t="s">
        <v>61</v>
      </c>
    </row>
    <row r="164" spans="2:35" x14ac:dyDescent="0.3">
      <c r="B164" t="s">
        <v>235</v>
      </c>
      <c r="C164" t="s">
        <v>515</v>
      </c>
      <c r="D164" t="s">
        <v>516</v>
      </c>
      <c r="F164" t="s">
        <v>23</v>
      </c>
      <c r="G164" t="s">
        <v>517</v>
      </c>
      <c r="M164" t="s">
        <v>8</v>
      </c>
      <c r="N164" t="s">
        <v>9</v>
      </c>
      <c r="O164" t="s">
        <v>427</v>
      </c>
      <c r="P164" t="s">
        <v>428</v>
      </c>
      <c r="S164" t="s">
        <v>6</v>
      </c>
      <c r="W164" t="b">
        <v>1</v>
      </c>
      <c r="X164">
        <v>0</v>
      </c>
      <c r="Y164" t="s">
        <v>518</v>
      </c>
      <c r="AG164" t="s">
        <v>514</v>
      </c>
      <c r="AI164" t="s">
        <v>61</v>
      </c>
    </row>
    <row r="165" spans="2:35" x14ac:dyDescent="0.3">
      <c r="B165" t="s">
        <v>235</v>
      </c>
      <c r="C165" t="s">
        <v>519</v>
      </c>
      <c r="D165" t="s">
        <v>520</v>
      </c>
      <c r="F165" t="s">
        <v>24</v>
      </c>
      <c r="G165" t="s">
        <v>521</v>
      </c>
      <c r="M165" t="s">
        <v>8</v>
      </c>
      <c r="N165" t="s">
        <v>9</v>
      </c>
      <c r="O165" s="14">
        <v>0</v>
      </c>
      <c r="P165" s="14">
        <v>1</v>
      </c>
      <c r="S165" s="14">
        <v>0</v>
      </c>
      <c r="W165" t="b">
        <v>1</v>
      </c>
      <c r="X165">
        <v>0</v>
      </c>
      <c r="Y165" s="14">
        <v>0.54510000000000003</v>
      </c>
      <c r="AG165" t="s">
        <v>522</v>
      </c>
      <c r="AH165" t="s">
        <v>122</v>
      </c>
      <c r="AI165" t="s">
        <v>61</v>
      </c>
    </row>
    <row r="166" spans="2:35" x14ac:dyDescent="0.3">
      <c r="B166" t="s">
        <v>235</v>
      </c>
      <c r="C166" t="s">
        <v>523</v>
      </c>
      <c r="D166" t="s">
        <v>524</v>
      </c>
      <c r="F166" t="s">
        <v>25</v>
      </c>
      <c r="G166" t="s">
        <v>525</v>
      </c>
      <c r="M166" t="s">
        <v>8</v>
      </c>
      <c r="N166" t="s">
        <v>9</v>
      </c>
      <c r="O166" t="s">
        <v>427</v>
      </c>
      <c r="P166" t="s">
        <v>428</v>
      </c>
      <c r="S166" t="s">
        <v>6</v>
      </c>
      <c r="W166" t="b">
        <v>1</v>
      </c>
      <c r="X166">
        <v>0</v>
      </c>
      <c r="Y166" t="s">
        <v>526</v>
      </c>
      <c r="AG166" t="s">
        <v>522</v>
      </c>
      <c r="AI166" t="s">
        <v>61</v>
      </c>
    </row>
    <row r="167" spans="2:35" x14ac:dyDescent="0.3">
      <c r="B167" t="s">
        <v>235</v>
      </c>
      <c r="C167" t="s">
        <v>527</v>
      </c>
      <c r="D167" t="s">
        <v>528</v>
      </c>
      <c r="F167" t="s">
        <v>26</v>
      </c>
      <c r="G167" t="s">
        <v>529</v>
      </c>
      <c r="M167" t="s">
        <v>8</v>
      </c>
      <c r="N167" t="s">
        <v>9</v>
      </c>
      <c r="O167" s="14">
        <v>0</v>
      </c>
      <c r="P167" s="14">
        <v>1</v>
      </c>
      <c r="S167" s="14">
        <v>0</v>
      </c>
      <c r="W167" t="b">
        <v>1</v>
      </c>
      <c r="X167">
        <v>0</v>
      </c>
      <c r="Y167" s="14">
        <v>0.51959999999999995</v>
      </c>
      <c r="AG167" t="s">
        <v>530</v>
      </c>
      <c r="AH167" t="s">
        <v>122</v>
      </c>
      <c r="AI167" t="s">
        <v>61</v>
      </c>
    </row>
    <row r="168" spans="2:35" x14ac:dyDescent="0.3">
      <c r="B168" t="s">
        <v>235</v>
      </c>
      <c r="C168" t="s">
        <v>531</v>
      </c>
      <c r="D168" t="s">
        <v>532</v>
      </c>
      <c r="F168" t="s">
        <v>27</v>
      </c>
      <c r="G168" t="s">
        <v>533</v>
      </c>
      <c r="M168" t="s">
        <v>8</v>
      </c>
      <c r="N168" t="s">
        <v>9</v>
      </c>
      <c r="O168" t="s">
        <v>427</v>
      </c>
      <c r="P168" t="s">
        <v>428</v>
      </c>
      <c r="S168" t="s">
        <v>6</v>
      </c>
      <c r="W168" t="b">
        <v>1</v>
      </c>
      <c r="X168">
        <v>0</v>
      </c>
      <c r="Y168" t="s">
        <v>534</v>
      </c>
      <c r="AG168" t="s">
        <v>530</v>
      </c>
      <c r="AH168" t="s">
        <v>122</v>
      </c>
      <c r="AI168" t="s">
        <v>61</v>
      </c>
    </row>
    <row r="169" spans="2:35" x14ac:dyDescent="0.3">
      <c r="B169" t="s">
        <v>411</v>
      </c>
      <c r="C169" t="s">
        <v>535</v>
      </c>
      <c r="D169" t="s">
        <v>536</v>
      </c>
      <c r="E169">
        <v>15</v>
      </c>
      <c r="AI169" t="s">
        <v>61</v>
      </c>
    </row>
    <row r="170" spans="2:35" x14ac:dyDescent="0.3">
      <c r="B170" t="s">
        <v>17</v>
      </c>
      <c r="C170" t="s">
        <v>537</v>
      </c>
      <c r="D170" t="s">
        <v>538</v>
      </c>
      <c r="F170" t="s">
        <v>10</v>
      </c>
      <c r="G170" t="s">
        <v>539</v>
      </c>
      <c r="L170" t="s">
        <v>67</v>
      </c>
      <c r="S170" t="s">
        <v>7</v>
      </c>
      <c r="W170" t="b">
        <v>1</v>
      </c>
      <c r="X170" t="s">
        <v>7</v>
      </c>
      <c r="Y170" t="s">
        <v>415</v>
      </c>
      <c r="AG170" t="s">
        <v>540</v>
      </c>
      <c r="AI170" t="s">
        <v>61</v>
      </c>
    </row>
    <row r="171" spans="2:35" x14ac:dyDescent="0.3">
      <c r="B171" t="s">
        <v>17</v>
      </c>
      <c r="C171" t="s">
        <v>541</v>
      </c>
      <c r="D171" t="s">
        <v>542</v>
      </c>
      <c r="F171" t="s">
        <v>11</v>
      </c>
      <c r="G171" t="s">
        <v>543</v>
      </c>
      <c r="L171" t="s">
        <v>67</v>
      </c>
      <c r="S171" t="s">
        <v>7</v>
      </c>
      <c r="W171" t="b">
        <v>1</v>
      </c>
      <c r="X171" t="s">
        <v>7</v>
      </c>
      <c r="Y171" t="s">
        <v>415</v>
      </c>
      <c r="AG171" t="s">
        <v>544</v>
      </c>
      <c r="AI171" t="s">
        <v>61</v>
      </c>
    </row>
    <row r="172" spans="2:35" x14ac:dyDescent="0.3">
      <c r="B172" t="s">
        <v>17</v>
      </c>
      <c r="C172" t="s">
        <v>545</v>
      </c>
      <c r="D172" t="s">
        <v>546</v>
      </c>
      <c r="F172" t="s">
        <v>12</v>
      </c>
      <c r="G172" t="s">
        <v>547</v>
      </c>
      <c r="L172" t="s">
        <v>67</v>
      </c>
      <c r="S172" t="s">
        <v>7</v>
      </c>
      <c r="W172" t="b">
        <v>1</v>
      </c>
      <c r="X172" t="s">
        <v>7</v>
      </c>
      <c r="Y172" t="s">
        <v>548</v>
      </c>
      <c r="AG172" t="s">
        <v>549</v>
      </c>
      <c r="AI172" t="s">
        <v>61</v>
      </c>
    </row>
    <row r="173" spans="2:35" x14ac:dyDescent="0.3">
      <c r="B173" t="s">
        <v>17</v>
      </c>
      <c r="C173" t="s">
        <v>550</v>
      </c>
      <c r="D173" t="s">
        <v>551</v>
      </c>
      <c r="F173" t="s">
        <v>14</v>
      </c>
      <c r="G173" t="s">
        <v>552</v>
      </c>
      <c r="L173" t="s">
        <v>67</v>
      </c>
      <c r="S173" t="s">
        <v>7</v>
      </c>
      <c r="W173" t="b">
        <v>1</v>
      </c>
      <c r="X173" t="s">
        <v>7</v>
      </c>
      <c r="Y173" t="s">
        <v>553</v>
      </c>
      <c r="AG173" t="s">
        <v>554</v>
      </c>
      <c r="AI173" t="s">
        <v>61</v>
      </c>
    </row>
    <row r="174" spans="2:35" x14ac:dyDescent="0.3">
      <c r="B174" t="s">
        <v>235</v>
      </c>
      <c r="C174" t="s">
        <v>555</v>
      </c>
      <c r="D174" t="s">
        <v>556</v>
      </c>
      <c r="F174" t="s">
        <v>15</v>
      </c>
      <c r="G174" t="s">
        <v>557</v>
      </c>
      <c r="M174" t="s">
        <v>8</v>
      </c>
      <c r="N174" t="s">
        <v>9</v>
      </c>
      <c r="O174" t="s">
        <v>474</v>
      </c>
      <c r="P174" t="s">
        <v>475</v>
      </c>
      <c r="S174" t="s">
        <v>474</v>
      </c>
      <c r="W174" t="b">
        <v>1</v>
      </c>
      <c r="X174">
        <v>0</v>
      </c>
      <c r="Y174" t="s">
        <v>558</v>
      </c>
      <c r="AG174" t="s">
        <v>559</v>
      </c>
      <c r="AH174" t="s">
        <v>122</v>
      </c>
      <c r="AI174" t="s">
        <v>61</v>
      </c>
    </row>
    <row r="175" spans="2:35" x14ac:dyDescent="0.3">
      <c r="B175" t="s">
        <v>235</v>
      </c>
      <c r="C175" t="s">
        <v>560</v>
      </c>
      <c r="D175" t="s">
        <v>561</v>
      </c>
      <c r="F175" t="s">
        <v>16</v>
      </c>
      <c r="G175" t="s">
        <v>562</v>
      </c>
      <c r="M175" t="s">
        <v>8</v>
      </c>
      <c r="N175" t="s">
        <v>9</v>
      </c>
      <c r="O175" t="s">
        <v>474</v>
      </c>
      <c r="P175" t="s">
        <v>475</v>
      </c>
      <c r="S175" t="s">
        <v>474</v>
      </c>
      <c r="W175" t="b">
        <v>1</v>
      </c>
      <c r="X175">
        <v>0</v>
      </c>
      <c r="Y175" t="s">
        <v>563</v>
      </c>
      <c r="AG175" t="s">
        <v>564</v>
      </c>
      <c r="AH175" t="s">
        <v>122</v>
      </c>
      <c r="AI175" t="s">
        <v>61</v>
      </c>
    </row>
    <row r="176" spans="2:35" x14ac:dyDescent="0.3">
      <c r="B176" t="s">
        <v>17</v>
      </c>
      <c r="C176" t="s">
        <v>565</v>
      </c>
      <c r="D176" t="s">
        <v>949</v>
      </c>
      <c r="F176" t="s">
        <v>18</v>
      </c>
      <c r="G176" t="s">
        <v>566</v>
      </c>
      <c r="L176" t="s">
        <v>67</v>
      </c>
      <c r="S176" t="s">
        <v>7</v>
      </c>
      <c r="W176" t="b">
        <v>1</v>
      </c>
      <c r="X176" t="s">
        <v>7</v>
      </c>
      <c r="Y176" t="s">
        <v>415</v>
      </c>
      <c r="AG176" t="s">
        <v>567</v>
      </c>
      <c r="AI176" t="s">
        <v>61</v>
      </c>
    </row>
    <row r="177" spans="2:35" x14ac:dyDescent="0.3">
      <c r="B177" t="s">
        <v>17</v>
      </c>
      <c r="C177" t="s">
        <v>568</v>
      </c>
      <c r="D177" t="s">
        <v>950</v>
      </c>
      <c r="F177" t="s">
        <v>19</v>
      </c>
      <c r="G177" t="s">
        <v>569</v>
      </c>
      <c r="L177" t="s">
        <v>67</v>
      </c>
      <c r="S177" t="s">
        <v>7</v>
      </c>
      <c r="W177" t="b">
        <v>1</v>
      </c>
      <c r="X177" t="s">
        <v>7</v>
      </c>
      <c r="Y177" t="s">
        <v>570</v>
      </c>
      <c r="AG177" t="s">
        <v>571</v>
      </c>
      <c r="AI177" t="s">
        <v>61</v>
      </c>
    </row>
    <row r="178" spans="2:35" x14ac:dyDescent="0.3">
      <c r="B178" t="s">
        <v>39</v>
      </c>
      <c r="C178" t="s">
        <v>572</v>
      </c>
      <c r="F178" t="s">
        <v>20</v>
      </c>
      <c r="K178" t="b">
        <v>0</v>
      </c>
      <c r="V178" t="s">
        <v>5</v>
      </c>
      <c r="Y178" t="s">
        <v>6</v>
      </c>
    </row>
    <row r="179" spans="2:35" x14ac:dyDescent="0.3">
      <c r="B179" t="s">
        <v>39</v>
      </c>
      <c r="C179" t="s">
        <v>573</v>
      </c>
      <c r="F179" t="s">
        <v>21</v>
      </c>
      <c r="K179" t="b">
        <v>0</v>
      </c>
      <c r="V179" t="s">
        <v>5</v>
      </c>
      <c r="Y179" t="s">
        <v>6</v>
      </c>
    </row>
    <row r="180" spans="2:35" x14ac:dyDescent="0.3">
      <c r="B180" t="s">
        <v>39</v>
      </c>
      <c r="C180" t="s">
        <v>574</v>
      </c>
      <c r="F180" t="s">
        <v>22</v>
      </c>
      <c r="K180" t="b">
        <v>0</v>
      </c>
      <c r="V180" t="s">
        <v>5</v>
      </c>
      <c r="Y180" t="s">
        <v>6</v>
      </c>
    </row>
    <row r="181" spans="2:35" x14ac:dyDescent="0.3">
      <c r="B181" t="s">
        <v>39</v>
      </c>
      <c r="C181" t="s">
        <v>575</v>
      </c>
      <c r="F181" t="s">
        <v>23</v>
      </c>
      <c r="K181" t="b">
        <v>0</v>
      </c>
      <c r="V181" t="s">
        <v>5</v>
      </c>
      <c r="Y181" t="s">
        <v>6</v>
      </c>
    </row>
    <row r="182" spans="2:35" x14ac:dyDescent="0.3">
      <c r="B182" t="s">
        <v>39</v>
      </c>
      <c r="C182" t="s">
        <v>576</v>
      </c>
      <c r="F182" t="s">
        <v>24</v>
      </c>
      <c r="K182" t="b">
        <v>0</v>
      </c>
      <c r="V182" t="s">
        <v>5</v>
      </c>
      <c r="Y182" t="s">
        <v>6</v>
      </c>
    </row>
    <row r="183" spans="2:35" x14ac:dyDescent="0.3">
      <c r="B183" t="s">
        <v>39</v>
      </c>
      <c r="C183" t="s">
        <v>577</v>
      </c>
      <c r="F183" t="s">
        <v>25</v>
      </c>
      <c r="K183" t="b">
        <v>0</v>
      </c>
      <c r="V183" t="s">
        <v>5</v>
      </c>
      <c r="Y183" t="s">
        <v>6</v>
      </c>
    </row>
    <row r="184" spans="2:35" x14ac:dyDescent="0.3">
      <c r="B184" t="s">
        <v>39</v>
      </c>
      <c r="C184" t="s">
        <v>578</v>
      </c>
      <c r="F184" t="s">
        <v>26</v>
      </c>
      <c r="K184" t="b">
        <v>0</v>
      </c>
      <c r="V184" t="s">
        <v>5</v>
      </c>
      <c r="Y184" t="s">
        <v>6</v>
      </c>
    </row>
    <row r="185" spans="2:35" x14ac:dyDescent="0.3">
      <c r="B185" t="s">
        <v>39</v>
      </c>
      <c r="C185" t="s">
        <v>579</v>
      </c>
      <c r="F185" t="s">
        <v>27</v>
      </c>
      <c r="K185" t="b">
        <v>0</v>
      </c>
      <c r="V185" t="s">
        <v>5</v>
      </c>
      <c r="Y185" t="s">
        <v>6</v>
      </c>
    </row>
    <row r="186" spans="2:35" x14ac:dyDescent="0.3">
      <c r="B186" t="s">
        <v>147</v>
      </c>
      <c r="C186" t="s">
        <v>580</v>
      </c>
      <c r="D186" t="s">
        <v>581</v>
      </c>
      <c r="E186">
        <v>17</v>
      </c>
      <c r="AI186" t="s">
        <v>61</v>
      </c>
    </row>
    <row r="187" spans="2:35" x14ac:dyDescent="0.3">
      <c r="B187" t="s">
        <v>40</v>
      </c>
      <c r="C187" t="s">
        <v>582</v>
      </c>
      <c r="D187" t="s">
        <v>583</v>
      </c>
      <c r="F187" t="s">
        <v>29</v>
      </c>
      <c r="G187" t="s">
        <v>584</v>
      </c>
      <c r="H187" t="b">
        <v>0</v>
      </c>
      <c r="Y187" t="s">
        <v>62</v>
      </c>
      <c r="Z187" t="s">
        <v>62</v>
      </c>
      <c r="AA187" t="s">
        <v>62</v>
      </c>
      <c r="AG187" t="s">
        <v>585</v>
      </c>
      <c r="AI187" t="s">
        <v>61</v>
      </c>
    </row>
    <row r="188" spans="2:35" x14ac:dyDescent="0.3">
      <c r="B188" t="s">
        <v>40</v>
      </c>
      <c r="C188" t="s">
        <v>586</v>
      </c>
      <c r="D188" t="s">
        <v>587</v>
      </c>
      <c r="F188" t="s">
        <v>30</v>
      </c>
      <c r="G188" t="s">
        <v>588</v>
      </c>
      <c r="H188" t="b">
        <v>0</v>
      </c>
      <c r="Y188" t="s">
        <v>62</v>
      </c>
      <c r="Z188" t="s">
        <v>62</v>
      </c>
      <c r="AA188" t="s">
        <v>62</v>
      </c>
      <c r="AG188" t="s">
        <v>589</v>
      </c>
      <c r="AI188" t="s">
        <v>61</v>
      </c>
    </row>
    <row r="189" spans="2:35" x14ac:dyDescent="0.3">
      <c r="B189" t="s">
        <v>40</v>
      </c>
      <c r="C189" t="s">
        <v>590</v>
      </c>
      <c r="D189" t="s">
        <v>951</v>
      </c>
      <c r="F189" t="s">
        <v>31</v>
      </c>
      <c r="G189" t="s">
        <v>591</v>
      </c>
      <c r="H189" t="b">
        <v>0</v>
      </c>
      <c r="Y189" t="s">
        <v>62</v>
      </c>
      <c r="Z189" t="s">
        <v>62</v>
      </c>
      <c r="AA189" t="s">
        <v>62</v>
      </c>
      <c r="AG189" t="s">
        <v>592</v>
      </c>
      <c r="AI189" t="s">
        <v>61</v>
      </c>
    </row>
    <row r="190" spans="2:35" x14ac:dyDescent="0.3">
      <c r="B190" t="s">
        <v>40</v>
      </c>
      <c r="C190" t="s">
        <v>593</v>
      </c>
      <c r="D190" t="s">
        <v>954</v>
      </c>
      <c r="F190" t="s">
        <v>32</v>
      </c>
      <c r="G190" t="s">
        <v>594</v>
      </c>
      <c r="H190" t="b">
        <v>0</v>
      </c>
      <c r="Y190" t="s">
        <v>62</v>
      </c>
      <c r="Z190" t="s">
        <v>62</v>
      </c>
      <c r="AA190" t="s">
        <v>62</v>
      </c>
      <c r="AG190" t="s">
        <v>595</v>
      </c>
      <c r="AI190" t="s">
        <v>61</v>
      </c>
    </row>
    <row r="191" spans="2:35" x14ac:dyDescent="0.3">
      <c r="B191" t="s">
        <v>40</v>
      </c>
      <c r="C191" t="s">
        <v>596</v>
      </c>
      <c r="D191" t="s">
        <v>953</v>
      </c>
      <c r="F191" t="s">
        <v>33</v>
      </c>
      <c r="G191" t="s">
        <v>597</v>
      </c>
      <c r="H191" t="b">
        <v>0</v>
      </c>
      <c r="Y191" t="s">
        <v>62</v>
      </c>
      <c r="Z191" t="s">
        <v>62</v>
      </c>
      <c r="AA191" t="s">
        <v>62</v>
      </c>
      <c r="AG191" t="s">
        <v>598</v>
      </c>
      <c r="AI191" t="s">
        <v>61</v>
      </c>
    </row>
    <row r="192" spans="2:35" x14ac:dyDescent="0.3">
      <c r="B192" t="s">
        <v>34</v>
      </c>
      <c r="C192" t="s">
        <v>599</v>
      </c>
      <c r="F192" t="s">
        <v>35</v>
      </c>
      <c r="Y192" t="s">
        <v>8</v>
      </c>
      <c r="Z192" t="s">
        <v>8</v>
      </c>
    </row>
    <row r="193" spans="2:35" x14ac:dyDescent="0.3">
      <c r="B193" t="s">
        <v>34</v>
      </c>
      <c r="C193" t="s">
        <v>600</v>
      </c>
      <c r="F193" t="s">
        <v>36</v>
      </c>
      <c r="Y193" t="s">
        <v>8</v>
      </c>
      <c r="Z193" t="s">
        <v>8</v>
      </c>
    </row>
    <row r="194" spans="2:35" x14ac:dyDescent="0.3">
      <c r="B194" t="s">
        <v>34</v>
      </c>
      <c r="C194" t="s">
        <v>601</v>
      </c>
      <c r="F194" t="s">
        <v>37</v>
      </c>
      <c r="Y194" t="s">
        <v>8</v>
      </c>
      <c r="Z194" t="s">
        <v>8</v>
      </c>
    </row>
    <row r="195" spans="2:35" x14ac:dyDescent="0.3">
      <c r="B195" t="s">
        <v>162</v>
      </c>
      <c r="C195" t="s">
        <v>602</v>
      </c>
      <c r="D195" t="s">
        <v>603</v>
      </c>
      <c r="E195">
        <v>18</v>
      </c>
      <c r="AI195" t="s">
        <v>61</v>
      </c>
    </row>
    <row r="196" spans="2:35" x14ac:dyDescent="0.3">
      <c r="B196" t="s">
        <v>28</v>
      </c>
      <c r="C196" t="s">
        <v>604</v>
      </c>
      <c r="D196" t="s">
        <v>605</v>
      </c>
      <c r="F196" t="s">
        <v>29</v>
      </c>
      <c r="G196" t="s">
        <v>606</v>
      </c>
      <c r="M196" t="s">
        <v>8</v>
      </c>
      <c r="N196" t="s">
        <v>9</v>
      </c>
      <c r="O196" s="14">
        <v>0</v>
      </c>
      <c r="P196" s="14">
        <v>1</v>
      </c>
      <c r="X196">
        <v>0</v>
      </c>
      <c r="Y196" s="14">
        <v>0</v>
      </c>
      <c r="Z196" s="14">
        <v>0</v>
      </c>
      <c r="AA196" s="14">
        <v>0</v>
      </c>
      <c r="AG196" t="s">
        <v>585</v>
      </c>
      <c r="AI196" t="s">
        <v>61</v>
      </c>
    </row>
    <row r="197" spans="2:35" x14ac:dyDescent="0.3">
      <c r="B197" t="s">
        <v>28</v>
      </c>
      <c r="C197" t="s">
        <v>607</v>
      </c>
      <c r="D197" t="s">
        <v>608</v>
      </c>
      <c r="F197" t="s">
        <v>30</v>
      </c>
      <c r="G197" t="s">
        <v>609</v>
      </c>
      <c r="M197" t="s">
        <v>8</v>
      </c>
      <c r="N197" t="s">
        <v>9</v>
      </c>
      <c r="O197" s="14">
        <v>0</v>
      </c>
      <c r="P197" s="14">
        <v>1</v>
      </c>
      <c r="X197">
        <v>0</v>
      </c>
      <c r="Y197" s="14">
        <v>0</v>
      </c>
      <c r="Z197" s="14">
        <v>0</v>
      </c>
      <c r="AA197" s="14">
        <v>0</v>
      </c>
      <c r="AG197" t="s">
        <v>589</v>
      </c>
      <c r="AI197" t="s">
        <v>61</v>
      </c>
    </row>
    <row r="198" spans="2:35" x14ac:dyDescent="0.3">
      <c r="B198" t="s">
        <v>28</v>
      </c>
      <c r="C198" t="s">
        <v>610</v>
      </c>
      <c r="D198" t="s">
        <v>611</v>
      </c>
      <c r="F198" t="s">
        <v>31</v>
      </c>
      <c r="G198" t="s">
        <v>612</v>
      </c>
      <c r="M198" t="s">
        <v>8</v>
      </c>
      <c r="N198" t="s">
        <v>8</v>
      </c>
      <c r="O198" t="s">
        <v>8</v>
      </c>
      <c r="P198" t="s">
        <v>8</v>
      </c>
      <c r="X198">
        <v>0</v>
      </c>
      <c r="Y198" t="s">
        <v>8</v>
      </c>
      <c r="Z198" t="s">
        <v>8</v>
      </c>
      <c r="AA198" t="s">
        <v>8</v>
      </c>
      <c r="AG198" t="s">
        <v>592</v>
      </c>
      <c r="AI198" t="s">
        <v>61</v>
      </c>
    </row>
    <row r="199" spans="2:35" x14ac:dyDescent="0.3">
      <c r="B199" t="s">
        <v>28</v>
      </c>
      <c r="C199" t="s">
        <v>613</v>
      </c>
      <c r="D199" t="s">
        <v>987</v>
      </c>
      <c r="F199" t="s">
        <v>32</v>
      </c>
      <c r="G199" t="s">
        <v>614</v>
      </c>
      <c r="M199" t="s">
        <v>8</v>
      </c>
      <c r="N199" t="s">
        <v>9</v>
      </c>
      <c r="O199" s="14">
        <v>0</v>
      </c>
      <c r="P199" s="14">
        <v>1</v>
      </c>
      <c r="X199">
        <v>0</v>
      </c>
      <c r="Y199" s="14">
        <v>0</v>
      </c>
      <c r="Z199" s="14">
        <v>0</v>
      </c>
      <c r="AA199" s="14">
        <v>0</v>
      </c>
      <c r="AG199" t="s">
        <v>615</v>
      </c>
      <c r="AI199" t="s">
        <v>61</v>
      </c>
    </row>
    <row r="200" spans="2:35" x14ac:dyDescent="0.3">
      <c r="B200" t="s">
        <v>28</v>
      </c>
      <c r="C200" t="s">
        <v>616</v>
      </c>
      <c r="D200" t="s">
        <v>988</v>
      </c>
      <c r="F200" t="s">
        <v>33</v>
      </c>
      <c r="G200" t="s">
        <v>617</v>
      </c>
      <c r="M200" t="s">
        <v>8</v>
      </c>
      <c r="N200" t="s">
        <v>9</v>
      </c>
      <c r="O200" s="14">
        <v>0</v>
      </c>
      <c r="P200" s="14">
        <v>1</v>
      </c>
      <c r="X200">
        <v>0</v>
      </c>
      <c r="Y200" s="14">
        <v>0</v>
      </c>
      <c r="Z200" s="14">
        <v>0</v>
      </c>
      <c r="AA200" s="14">
        <v>0</v>
      </c>
      <c r="AG200" t="s">
        <v>618</v>
      </c>
      <c r="AI200" t="s">
        <v>61</v>
      </c>
    </row>
    <row r="201" spans="2:35" x14ac:dyDescent="0.3">
      <c r="B201" t="s">
        <v>28</v>
      </c>
      <c r="C201" t="s">
        <v>619</v>
      </c>
      <c r="D201" t="s">
        <v>620</v>
      </c>
      <c r="F201" t="s">
        <v>35</v>
      </c>
      <c r="G201" t="s">
        <v>621</v>
      </c>
      <c r="M201" t="s">
        <v>8</v>
      </c>
      <c r="N201" t="s">
        <v>9</v>
      </c>
      <c r="O201" s="14">
        <v>0</v>
      </c>
      <c r="P201" s="14">
        <v>1</v>
      </c>
      <c r="X201">
        <v>0</v>
      </c>
      <c r="Y201" s="14">
        <v>0</v>
      </c>
      <c r="Z201" s="14">
        <v>0</v>
      </c>
      <c r="AA201" s="14">
        <v>0</v>
      </c>
      <c r="AG201" t="s">
        <v>622</v>
      </c>
      <c r="AI201" t="s">
        <v>61</v>
      </c>
    </row>
    <row r="202" spans="2:35" x14ac:dyDescent="0.3">
      <c r="B202" t="s">
        <v>28</v>
      </c>
      <c r="C202" t="s">
        <v>623</v>
      </c>
      <c r="D202" t="s">
        <v>955</v>
      </c>
      <c r="F202" t="s">
        <v>36</v>
      </c>
      <c r="G202" t="s">
        <v>624</v>
      </c>
      <c r="M202" t="s">
        <v>8</v>
      </c>
      <c r="N202" t="s">
        <v>9</v>
      </c>
      <c r="O202" s="14">
        <v>0</v>
      </c>
      <c r="P202" s="14">
        <v>1</v>
      </c>
      <c r="X202">
        <v>0</v>
      </c>
      <c r="Y202" s="14">
        <v>0</v>
      </c>
      <c r="Z202" s="14">
        <v>0</v>
      </c>
      <c r="AA202" s="14">
        <v>0</v>
      </c>
      <c r="AG202" t="s">
        <v>625</v>
      </c>
      <c r="AI202" t="s">
        <v>61</v>
      </c>
    </row>
    <row r="203" spans="2:35" x14ac:dyDescent="0.3">
      <c r="B203" t="s">
        <v>28</v>
      </c>
      <c r="C203" t="s">
        <v>626</v>
      </c>
      <c r="D203" t="s">
        <v>956</v>
      </c>
      <c r="F203" t="s">
        <v>37</v>
      </c>
      <c r="G203" t="s">
        <v>627</v>
      </c>
      <c r="M203" t="s">
        <v>8</v>
      </c>
      <c r="N203" t="s">
        <v>9</v>
      </c>
      <c r="O203" s="14">
        <v>0</v>
      </c>
      <c r="P203" s="14">
        <v>1</v>
      </c>
      <c r="X203">
        <v>0</v>
      </c>
      <c r="Y203" s="14">
        <v>0</v>
      </c>
      <c r="Z203" s="14">
        <v>0</v>
      </c>
      <c r="AA203" s="14">
        <v>0</v>
      </c>
      <c r="AG203" t="s">
        <v>628</v>
      </c>
      <c r="AI203" t="s">
        <v>61</v>
      </c>
    </row>
    <row r="204" spans="2:35" x14ac:dyDescent="0.3">
      <c r="B204" t="s">
        <v>162</v>
      </c>
      <c r="C204" t="s">
        <v>629</v>
      </c>
      <c r="D204" t="s">
        <v>630</v>
      </c>
      <c r="E204">
        <v>19</v>
      </c>
      <c r="AI204" t="s">
        <v>61</v>
      </c>
    </row>
    <row r="205" spans="2:35" x14ac:dyDescent="0.3">
      <c r="B205" t="s">
        <v>28</v>
      </c>
      <c r="C205" t="s">
        <v>631</v>
      </c>
      <c r="D205" t="s">
        <v>632</v>
      </c>
      <c r="F205" t="s">
        <v>29</v>
      </c>
      <c r="G205" t="s">
        <v>633</v>
      </c>
      <c r="M205" t="s">
        <v>8</v>
      </c>
      <c r="N205" t="s">
        <v>9</v>
      </c>
      <c r="O205" s="14">
        <v>0</v>
      </c>
      <c r="P205" s="14">
        <v>1</v>
      </c>
      <c r="X205">
        <v>0</v>
      </c>
      <c r="Y205" s="14">
        <v>0</v>
      </c>
      <c r="Z205" s="14">
        <v>0</v>
      </c>
      <c r="AA205" s="14">
        <v>0</v>
      </c>
      <c r="AG205" t="s">
        <v>625</v>
      </c>
      <c r="AI205" t="s">
        <v>61</v>
      </c>
    </row>
    <row r="206" spans="2:35" x14ac:dyDescent="0.3">
      <c r="B206" t="s">
        <v>28</v>
      </c>
      <c r="C206" t="s">
        <v>634</v>
      </c>
      <c r="D206" t="s">
        <v>635</v>
      </c>
      <c r="F206" t="s">
        <v>30</v>
      </c>
      <c r="G206" t="s">
        <v>634</v>
      </c>
      <c r="M206" t="s">
        <v>8</v>
      </c>
      <c r="N206" t="s">
        <v>9</v>
      </c>
      <c r="O206" s="14">
        <v>0</v>
      </c>
      <c r="P206" s="14">
        <v>1</v>
      </c>
      <c r="X206">
        <v>0</v>
      </c>
      <c r="Y206" s="14">
        <v>0</v>
      </c>
      <c r="Z206" s="14">
        <v>0</v>
      </c>
      <c r="AA206" s="14">
        <v>0</v>
      </c>
      <c r="AG206" t="s">
        <v>634</v>
      </c>
      <c r="AI206" t="s">
        <v>61</v>
      </c>
    </row>
    <row r="207" spans="2:35" x14ac:dyDescent="0.3">
      <c r="B207" t="s">
        <v>28</v>
      </c>
      <c r="C207" t="s">
        <v>636</v>
      </c>
      <c r="D207" t="s">
        <v>637</v>
      </c>
      <c r="F207" t="s">
        <v>31</v>
      </c>
      <c r="G207" t="s">
        <v>636</v>
      </c>
      <c r="M207" t="s">
        <v>8</v>
      </c>
      <c r="N207" t="s">
        <v>9</v>
      </c>
      <c r="O207" s="14">
        <v>0</v>
      </c>
      <c r="P207" s="14">
        <v>1</v>
      </c>
      <c r="X207">
        <v>0</v>
      </c>
      <c r="Y207" s="14">
        <v>0</v>
      </c>
      <c r="Z207" s="14">
        <v>0</v>
      </c>
      <c r="AA207" s="14">
        <v>0</v>
      </c>
      <c r="AG207" t="s">
        <v>636</v>
      </c>
      <c r="AI207" t="s">
        <v>61</v>
      </c>
    </row>
    <row r="208" spans="2:35" x14ac:dyDescent="0.3">
      <c r="B208" t="s">
        <v>28</v>
      </c>
      <c r="C208" t="s">
        <v>638</v>
      </c>
      <c r="D208" t="s">
        <v>639</v>
      </c>
      <c r="F208" t="s">
        <v>32</v>
      </c>
      <c r="G208" t="s">
        <v>638</v>
      </c>
      <c r="M208" t="s">
        <v>8</v>
      </c>
      <c r="N208" t="s">
        <v>9</v>
      </c>
      <c r="O208" s="14">
        <v>0</v>
      </c>
      <c r="P208" s="14">
        <v>1</v>
      </c>
      <c r="X208">
        <v>0</v>
      </c>
      <c r="Y208" s="14">
        <v>0</v>
      </c>
      <c r="Z208" s="14">
        <v>0</v>
      </c>
      <c r="AA208" s="14">
        <v>0</v>
      </c>
      <c r="AG208" t="s">
        <v>638</v>
      </c>
      <c r="AI208" t="s">
        <v>61</v>
      </c>
    </row>
    <row r="209" spans="2:35" x14ac:dyDescent="0.3">
      <c r="B209" t="s">
        <v>28</v>
      </c>
      <c r="C209" t="s">
        <v>640</v>
      </c>
      <c r="D209" t="s">
        <v>641</v>
      </c>
      <c r="F209" t="s">
        <v>33</v>
      </c>
      <c r="G209" t="s">
        <v>640</v>
      </c>
      <c r="M209" t="s">
        <v>8</v>
      </c>
      <c r="N209" t="s">
        <v>9</v>
      </c>
      <c r="O209" s="14">
        <v>0</v>
      </c>
      <c r="P209" s="14">
        <v>1</v>
      </c>
      <c r="X209">
        <v>0</v>
      </c>
      <c r="Y209" s="14">
        <v>0</v>
      </c>
      <c r="Z209" s="14">
        <v>0</v>
      </c>
      <c r="AA209" s="14">
        <v>0</v>
      </c>
      <c r="AG209" t="s">
        <v>640</v>
      </c>
      <c r="AI209" t="s">
        <v>61</v>
      </c>
    </row>
    <row r="210" spans="2:35" x14ac:dyDescent="0.3">
      <c r="B210" t="s">
        <v>28</v>
      </c>
      <c r="C210" t="s">
        <v>642</v>
      </c>
      <c r="D210" t="s">
        <v>643</v>
      </c>
      <c r="F210" t="s">
        <v>35</v>
      </c>
      <c r="G210" t="s">
        <v>642</v>
      </c>
      <c r="M210" t="s">
        <v>8</v>
      </c>
      <c r="N210" t="s">
        <v>9</v>
      </c>
      <c r="O210" s="14">
        <v>0</v>
      </c>
      <c r="P210" s="14">
        <v>1</v>
      </c>
      <c r="X210">
        <v>0</v>
      </c>
      <c r="Y210" s="14">
        <v>5.9999999999999995E-4</v>
      </c>
      <c r="Z210" s="14">
        <v>0</v>
      </c>
      <c r="AA210" s="14">
        <v>0</v>
      </c>
      <c r="AG210" t="s">
        <v>642</v>
      </c>
      <c r="AI210" t="s">
        <v>61</v>
      </c>
    </row>
    <row r="211" spans="2:35" x14ac:dyDescent="0.3">
      <c r="B211" t="s">
        <v>28</v>
      </c>
      <c r="C211" t="s">
        <v>644</v>
      </c>
      <c r="D211" t="s">
        <v>645</v>
      </c>
      <c r="F211" t="s">
        <v>36</v>
      </c>
      <c r="G211" t="s">
        <v>644</v>
      </c>
      <c r="M211" t="s">
        <v>8</v>
      </c>
      <c r="N211" t="s">
        <v>9</v>
      </c>
      <c r="O211" s="14">
        <v>0</v>
      </c>
      <c r="P211" s="14">
        <v>1</v>
      </c>
      <c r="X211">
        <v>0</v>
      </c>
      <c r="Y211" s="14">
        <v>0</v>
      </c>
      <c r="Z211" s="14">
        <v>0</v>
      </c>
      <c r="AA211" s="14">
        <v>0</v>
      </c>
      <c r="AG211" t="s">
        <v>644</v>
      </c>
      <c r="AI211" t="s">
        <v>61</v>
      </c>
    </row>
    <row r="212" spans="2:35" x14ac:dyDescent="0.3">
      <c r="B212" t="s">
        <v>28</v>
      </c>
      <c r="C212" t="s">
        <v>646</v>
      </c>
      <c r="D212" t="s">
        <v>647</v>
      </c>
      <c r="F212" t="s">
        <v>37</v>
      </c>
      <c r="G212" t="s">
        <v>646</v>
      </c>
      <c r="M212" t="s">
        <v>8</v>
      </c>
      <c r="N212" t="s">
        <v>9</v>
      </c>
      <c r="O212" s="14">
        <v>0</v>
      </c>
      <c r="P212" s="14">
        <v>1</v>
      </c>
      <c r="X212">
        <v>0</v>
      </c>
      <c r="Y212" s="14">
        <v>0</v>
      </c>
      <c r="Z212" s="14">
        <v>0</v>
      </c>
      <c r="AA212" s="14">
        <v>0</v>
      </c>
      <c r="AG212" t="s">
        <v>646</v>
      </c>
      <c r="AI212" t="s">
        <v>61</v>
      </c>
    </row>
    <row r="213" spans="2:35" x14ac:dyDescent="0.3">
      <c r="B213" t="s">
        <v>162</v>
      </c>
      <c r="C213" t="s">
        <v>648</v>
      </c>
      <c r="D213" t="s">
        <v>649</v>
      </c>
      <c r="E213">
        <v>20</v>
      </c>
      <c r="AI213" t="s">
        <v>61</v>
      </c>
    </row>
    <row r="214" spans="2:35" x14ac:dyDescent="0.3">
      <c r="B214" t="s">
        <v>28</v>
      </c>
      <c r="C214" t="s">
        <v>650</v>
      </c>
      <c r="D214" t="s">
        <v>651</v>
      </c>
      <c r="F214" t="s">
        <v>29</v>
      </c>
      <c r="G214" t="s">
        <v>650</v>
      </c>
      <c r="M214" t="s">
        <v>8</v>
      </c>
      <c r="N214" t="s">
        <v>9</v>
      </c>
      <c r="O214" s="14">
        <v>0</v>
      </c>
      <c r="P214" s="14">
        <v>1</v>
      </c>
      <c r="X214">
        <v>0</v>
      </c>
      <c r="Y214" s="14">
        <v>0</v>
      </c>
      <c r="Z214" s="14">
        <v>0</v>
      </c>
      <c r="AA214" s="14">
        <v>0</v>
      </c>
      <c r="AG214" t="s">
        <v>650</v>
      </c>
      <c r="AI214" t="s">
        <v>61</v>
      </c>
    </row>
    <row r="215" spans="2:35" x14ac:dyDescent="0.3">
      <c r="B215" t="s">
        <v>28</v>
      </c>
      <c r="C215" t="s">
        <v>652</v>
      </c>
      <c r="D215" t="s">
        <v>653</v>
      </c>
      <c r="F215" t="s">
        <v>30</v>
      </c>
      <c r="G215" t="s">
        <v>652</v>
      </c>
      <c r="M215" t="s">
        <v>8</v>
      </c>
      <c r="N215" t="s">
        <v>9</v>
      </c>
      <c r="O215" s="14">
        <v>0</v>
      </c>
      <c r="P215" s="14">
        <v>1</v>
      </c>
      <c r="X215">
        <v>0</v>
      </c>
      <c r="Y215" s="14">
        <v>0</v>
      </c>
      <c r="Z215" s="14">
        <v>0</v>
      </c>
      <c r="AA215" s="14">
        <v>0</v>
      </c>
      <c r="AG215" t="s">
        <v>652</v>
      </c>
      <c r="AI215" t="s">
        <v>61</v>
      </c>
    </row>
    <row r="216" spans="2:35" x14ac:dyDescent="0.3">
      <c r="B216" t="s">
        <v>28</v>
      </c>
      <c r="C216" t="s">
        <v>654</v>
      </c>
      <c r="D216" t="s">
        <v>655</v>
      </c>
      <c r="F216" t="s">
        <v>31</v>
      </c>
      <c r="G216" t="s">
        <v>654</v>
      </c>
      <c r="M216" t="s">
        <v>8</v>
      </c>
      <c r="N216" t="s">
        <v>9</v>
      </c>
      <c r="O216" s="14">
        <v>0</v>
      </c>
      <c r="P216" s="14">
        <v>1</v>
      </c>
      <c r="X216">
        <v>0</v>
      </c>
      <c r="Y216" s="14">
        <v>0</v>
      </c>
      <c r="Z216" s="14">
        <v>0</v>
      </c>
      <c r="AA216" s="14">
        <v>0</v>
      </c>
      <c r="AG216" t="s">
        <v>654</v>
      </c>
      <c r="AI216" t="s">
        <v>61</v>
      </c>
    </row>
    <row r="217" spans="2:35" x14ac:dyDescent="0.3">
      <c r="B217" t="s">
        <v>28</v>
      </c>
      <c r="C217" t="s">
        <v>656</v>
      </c>
      <c r="D217" t="s">
        <v>657</v>
      </c>
      <c r="F217" t="s">
        <v>32</v>
      </c>
      <c r="G217" t="s">
        <v>656</v>
      </c>
      <c r="M217" t="s">
        <v>8</v>
      </c>
      <c r="N217" t="s">
        <v>9</v>
      </c>
      <c r="O217" s="14">
        <v>0</v>
      </c>
      <c r="P217" s="14">
        <v>1</v>
      </c>
      <c r="X217">
        <v>0</v>
      </c>
      <c r="Y217" s="14">
        <v>0</v>
      </c>
      <c r="Z217" s="14">
        <v>0</v>
      </c>
      <c r="AA217" s="14">
        <v>0</v>
      </c>
      <c r="AG217" t="s">
        <v>656</v>
      </c>
      <c r="AI217" t="s">
        <v>61</v>
      </c>
    </row>
    <row r="218" spans="2:35" x14ac:dyDescent="0.3">
      <c r="B218" t="s">
        <v>28</v>
      </c>
      <c r="C218" t="s">
        <v>658</v>
      </c>
      <c r="D218" t="s">
        <v>659</v>
      </c>
      <c r="F218" t="s">
        <v>33</v>
      </c>
      <c r="G218" t="s">
        <v>658</v>
      </c>
      <c r="M218" t="s">
        <v>8</v>
      </c>
      <c r="N218" t="s">
        <v>9</v>
      </c>
      <c r="O218" s="14">
        <v>0</v>
      </c>
      <c r="P218" s="14">
        <v>1</v>
      </c>
      <c r="X218">
        <v>0</v>
      </c>
      <c r="Y218" s="14">
        <v>0</v>
      </c>
      <c r="Z218" s="14">
        <v>0</v>
      </c>
      <c r="AA218" s="14">
        <v>0</v>
      </c>
      <c r="AG218" t="s">
        <v>658</v>
      </c>
      <c r="AI218" t="s">
        <v>61</v>
      </c>
    </row>
    <row r="219" spans="2:35" x14ac:dyDescent="0.3">
      <c r="B219" t="s">
        <v>28</v>
      </c>
      <c r="C219" t="s">
        <v>660</v>
      </c>
      <c r="D219" t="s">
        <v>661</v>
      </c>
      <c r="F219" t="s">
        <v>35</v>
      </c>
      <c r="G219" t="s">
        <v>660</v>
      </c>
      <c r="M219" t="s">
        <v>8</v>
      </c>
      <c r="N219" t="s">
        <v>9</v>
      </c>
      <c r="O219" s="14">
        <v>0</v>
      </c>
      <c r="P219" s="14">
        <v>1</v>
      </c>
      <c r="X219">
        <v>0</v>
      </c>
      <c r="Y219" s="14">
        <v>0</v>
      </c>
      <c r="Z219" s="14">
        <v>0</v>
      </c>
      <c r="AA219" s="14">
        <v>0</v>
      </c>
      <c r="AG219" t="s">
        <v>660</v>
      </c>
      <c r="AI219" t="s">
        <v>61</v>
      </c>
    </row>
    <row r="220" spans="2:35" x14ac:dyDescent="0.3">
      <c r="B220" t="s">
        <v>28</v>
      </c>
      <c r="C220" t="s">
        <v>662</v>
      </c>
      <c r="D220" t="s">
        <v>663</v>
      </c>
      <c r="F220" t="s">
        <v>36</v>
      </c>
      <c r="G220" t="s">
        <v>662</v>
      </c>
      <c r="M220" t="s">
        <v>8</v>
      </c>
      <c r="N220" t="s">
        <v>9</v>
      </c>
      <c r="O220" s="14">
        <v>0</v>
      </c>
      <c r="P220" s="14">
        <v>1</v>
      </c>
      <c r="X220">
        <v>0</v>
      </c>
      <c r="Y220" s="14">
        <v>0</v>
      </c>
      <c r="Z220" s="14">
        <v>0</v>
      </c>
      <c r="AA220" s="14">
        <v>0</v>
      </c>
      <c r="AG220" t="s">
        <v>662</v>
      </c>
      <c r="AI220" t="s">
        <v>61</v>
      </c>
    </row>
    <row r="221" spans="2:35" x14ac:dyDescent="0.3">
      <c r="B221" t="s">
        <v>28</v>
      </c>
      <c r="C221" t="s">
        <v>664</v>
      </c>
      <c r="D221" t="s">
        <v>665</v>
      </c>
      <c r="F221" t="s">
        <v>37</v>
      </c>
      <c r="G221" t="s">
        <v>664</v>
      </c>
      <c r="M221" t="s">
        <v>8</v>
      </c>
      <c r="N221" t="s">
        <v>9</v>
      </c>
      <c r="O221" s="14">
        <v>0</v>
      </c>
      <c r="P221" s="14">
        <v>1</v>
      </c>
      <c r="X221">
        <v>0</v>
      </c>
      <c r="Y221" s="14">
        <v>0</v>
      </c>
      <c r="Z221" s="14">
        <v>0</v>
      </c>
      <c r="AA221" s="14">
        <v>0</v>
      </c>
      <c r="AG221" t="s">
        <v>664</v>
      </c>
      <c r="AI221" t="s">
        <v>61</v>
      </c>
    </row>
    <row r="222" spans="2:35" x14ac:dyDescent="0.3">
      <c r="B222" t="s">
        <v>66</v>
      </c>
      <c r="C222" t="s">
        <v>666</v>
      </c>
      <c r="D222" t="s">
        <v>667</v>
      </c>
      <c r="E222">
        <v>21</v>
      </c>
      <c r="AI222" t="s">
        <v>61</v>
      </c>
    </row>
    <row r="223" spans="2:35" x14ac:dyDescent="0.3">
      <c r="B223" t="s">
        <v>222</v>
      </c>
      <c r="C223" t="s">
        <v>668</v>
      </c>
      <c r="D223" t="s">
        <v>669</v>
      </c>
      <c r="F223" t="s">
        <v>10</v>
      </c>
      <c r="G223" t="s">
        <v>670</v>
      </c>
      <c r="M223" t="s">
        <v>226</v>
      </c>
      <c r="N223" t="s">
        <v>227</v>
      </c>
      <c r="O223" t="s">
        <v>228</v>
      </c>
      <c r="P223" t="s">
        <v>229</v>
      </c>
      <c r="S223" t="s">
        <v>228</v>
      </c>
      <c r="W223" t="b">
        <v>1</v>
      </c>
      <c r="X223">
        <v>0</v>
      </c>
      <c r="Y223" t="s">
        <v>493</v>
      </c>
      <c r="AG223" t="s">
        <v>585</v>
      </c>
      <c r="AI223" t="s">
        <v>61</v>
      </c>
    </row>
    <row r="224" spans="2:35" x14ac:dyDescent="0.3">
      <c r="B224" t="s">
        <v>222</v>
      </c>
      <c r="C224" t="s">
        <v>671</v>
      </c>
      <c r="D224" t="s">
        <v>672</v>
      </c>
      <c r="F224" t="s">
        <v>11</v>
      </c>
      <c r="G224" t="s">
        <v>673</v>
      </c>
      <c r="M224" t="s">
        <v>226</v>
      </c>
      <c r="N224" t="s">
        <v>227</v>
      </c>
      <c r="O224" t="s">
        <v>228</v>
      </c>
      <c r="P224" t="s">
        <v>229</v>
      </c>
      <c r="S224" t="s">
        <v>228</v>
      </c>
      <c r="W224" t="b">
        <v>1</v>
      </c>
      <c r="X224">
        <v>0</v>
      </c>
      <c r="Y224" t="s">
        <v>493</v>
      </c>
      <c r="AG224" t="s">
        <v>589</v>
      </c>
      <c r="AI224" t="s">
        <v>61</v>
      </c>
    </row>
    <row r="225" spans="2:35" x14ac:dyDescent="0.3">
      <c r="B225" t="s">
        <v>235</v>
      </c>
      <c r="C225" t="s">
        <v>674</v>
      </c>
      <c r="D225" t="s">
        <v>989</v>
      </c>
      <c r="F225" t="s">
        <v>12</v>
      </c>
      <c r="G225" t="s">
        <v>675</v>
      </c>
      <c r="M225" t="s">
        <v>8</v>
      </c>
      <c r="N225" t="s">
        <v>9</v>
      </c>
      <c r="O225" s="14">
        <v>0</v>
      </c>
      <c r="P225" s="14">
        <v>1</v>
      </c>
      <c r="S225" s="14">
        <v>0</v>
      </c>
      <c r="W225" t="b">
        <v>1</v>
      </c>
      <c r="X225">
        <v>0</v>
      </c>
      <c r="Y225" s="14">
        <v>0.21149999999999999</v>
      </c>
      <c r="AG225" t="s">
        <v>615</v>
      </c>
      <c r="AI225" t="s">
        <v>61</v>
      </c>
    </row>
    <row r="226" spans="2:35" x14ac:dyDescent="0.3">
      <c r="B226" t="s">
        <v>235</v>
      </c>
      <c r="C226" t="s">
        <v>676</v>
      </c>
      <c r="D226" t="s">
        <v>990</v>
      </c>
      <c r="F226" t="s">
        <v>14</v>
      </c>
      <c r="G226" t="s">
        <v>677</v>
      </c>
      <c r="M226" t="s">
        <v>8</v>
      </c>
      <c r="N226" t="s">
        <v>9</v>
      </c>
      <c r="O226" s="14">
        <v>0</v>
      </c>
      <c r="P226" s="14">
        <v>1</v>
      </c>
      <c r="S226" s="14">
        <v>0</v>
      </c>
      <c r="W226" t="b">
        <v>1</v>
      </c>
      <c r="X226">
        <v>0</v>
      </c>
      <c r="Y226" s="14">
        <v>5.0000000000000001E-4</v>
      </c>
      <c r="AG226" t="s">
        <v>618</v>
      </c>
      <c r="AI226" t="s">
        <v>61</v>
      </c>
    </row>
    <row r="227" spans="2:35" x14ac:dyDescent="0.3">
      <c r="B227" t="s">
        <v>235</v>
      </c>
      <c r="C227" t="s">
        <v>678</v>
      </c>
      <c r="D227" t="s">
        <v>957</v>
      </c>
      <c r="F227" t="s">
        <v>15</v>
      </c>
      <c r="G227" t="s">
        <v>679</v>
      </c>
      <c r="M227" t="s">
        <v>8</v>
      </c>
      <c r="N227" t="s">
        <v>9</v>
      </c>
      <c r="O227" s="14">
        <v>0</v>
      </c>
      <c r="P227" s="14">
        <v>1</v>
      </c>
      <c r="S227" s="14">
        <v>0</v>
      </c>
      <c r="W227" t="b">
        <v>1</v>
      </c>
      <c r="X227">
        <v>0</v>
      </c>
      <c r="Y227" s="14">
        <v>0.2069</v>
      </c>
      <c r="AG227" t="s">
        <v>622</v>
      </c>
      <c r="AI227" t="s">
        <v>61</v>
      </c>
    </row>
    <row r="228" spans="2:35" x14ac:dyDescent="0.3">
      <c r="B228" t="s">
        <v>235</v>
      </c>
      <c r="C228" t="s">
        <v>680</v>
      </c>
      <c r="D228" t="s">
        <v>681</v>
      </c>
      <c r="F228" t="s">
        <v>16</v>
      </c>
      <c r="G228" t="s">
        <v>682</v>
      </c>
      <c r="M228" t="s">
        <v>8</v>
      </c>
      <c r="N228" t="s">
        <v>9</v>
      </c>
      <c r="O228" s="14">
        <v>0</v>
      </c>
      <c r="P228" s="14">
        <v>1</v>
      </c>
      <c r="S228" s="14">
        <v>0</v>
      </c>
      <c r="W228" t="b">
        <v>1</v>
      </c>
      <c r="X228">
        <v>0</v>
      </c>
      <c r="Y228" s="14">
        <v>0.2074</v>
      </c>
      <c r="AG228" t="s">
        <v>625</v>
      </c>
      <c r="AI228" t="s">
        <v>61</v>
      </c>
    </row>
    <row r="229" spans="2:35" x14ac:dyDescent="0.3">
      <c r="B229" t="s">
        <v>235</v>
      </c>
      <c r="C229" t="s">
        <v>683</v>
      </c>
      <c r="D229" t="s">
        <v>958</v>
      </c>
      <c r="F229" t="s">
        <v>18</v>
      </c>
      <c r="G229" t="s">
        <v>684</v>
      </c>
      <c r="M229" t="s">
        <v>8</v>
      </c>
      <c r="N229" t="s">
        <v>9</v>
      </c>
      <c r="O229" s="14">
        <v>0</v>
      </c>
      <c r="P229" s="14">
        <v>1</v>
      </c>
      <c r="S229" s="14">
        <v>0</v>
      </c>
      <c r="W229" t="b">
        <v>1</v>
      </c>
      <c r="X229">
        <v>0</v>
      </c>
      <c r="Y229" s="14">
        <v>0.2112</v>
      </c>
      <c r="AG229" t="s">
        <v>628</v>
      </c>
      <c r="AI229" t="s">
        <v>61</v>
      </c>
    </row>
    <row r="230" spans="2:35" x14ac:dyDescent="0.3">
      <c r="B230" t="s">
        <v>235</v>
      </c>
      <c r="C230" t="s">
        <v>685</v>
      </c>
      <c r="D230" t="s">
        <v>959</v>
      </c>
      <c r="F230" t="s">
        <v>19</v>
      </c>
      <c r="G230" t="s">
        <v>686</v>
      </c>
      <c r="M230" t="s">
        <v>8</v>
      </c>
      <c r="N230" t="s">
        <v>9</v>
      </c>
      <c r="O230" s="14">
        <v>0</v>
      </c>
      <c r="P230" s="14">
        <v>1</v>
      </c>
      <c r="S230" s="14">
        <v>0</v>
      </c>
      <c r="W230" t="b">
        <v>1</v>
      </c>
      <c r="X230">
        <v>0</v>
      </c>
      <c r="Y230" s="14">
        <v>0.48049999999999998</v>
      </c>
      <c r="AG230" t="s">
        <v>687</v>
      </c>
      <c r="AI230" t="s">
        <v>61</v>
      </c>
    </row>
    <row r="231" spans="2:35" x14ac:dyDescent="0.3">
      <c r="B231" t="s">
        <v>28</v>
      </c>
      <c r="C231" t="s">
        <v>688</v>
      </c>
      <c r="D231" t="s">
        <v>689</v>
      </c>
      <c r="F231" t="s">
        <v>29</v>
      </c>
      <c r="G231" t="s">
        <v>688</v>
      </c>
      <c r="M231" t="s">
        <v>8</v>
      </c>
      <c r="N231" t="s">
        <v>9</v>
      </c>
      <c r="O231" s="14">
        <v>0</v>
      </c>
      <c r="P231" s="14">
        <v>1</v>
      </c>
      <c r="X231">
        <v>0</v>
      </c>
      <c r="Y231" s="14">
        <v>0</v>
      </c>
      <c r="Z231" s="14">
        <v>0</v>
      </c>
      <c r="AA231" s="14">
        <v>0</v>
      </c>
      <c r="AG231" t="s">
        <v>688</v>
      </c>
      <c r="AI231" t="s">
        <v>61</v>
      </c>
    </row>
    <row r="232" spans="2:35" x14ac:dyDescent="0.3">
      <c r="B232" t="s">
        <v>28</v>
      </c>
      <c r="C232" t="s">
        <v>690</v>
      </c>
      <c r="D232" t="s">
        <v>691</v>
      </c>
      <c r="F232" t="s">
        <v>30</v>
      </c>
      <c r="G232" t="s">
        <v>690</v>
      </c>
      <c r="M232" t="s">
        <v>8</v>
      </c>
      <c r="N232" t="s">
        <v>9</v>
      </c>
      <c r="O232" s="14">
        <v>0</v>
      </c>
      <c r="P232" s="14">
        <v>1</v>
      </c>
      <c r="X232">
        <v>0</v>
      </c>
      <c r="Y232" s="14">
        <v>0</v>
      </c>
      <c r="Z232" s="14">
        <v>0</v>
      </c>
      <c r="AA232" s="14">
        <v>0</v>
      </c>
      <c r="AG232" t="s">
        <v>690</v>
      </c>
      <c r="AI232" t="s">
        <v>61</v>
      </c>
    </row>
    <row r="233" spans="2:35" x14ac:dyDescent="0.3">
      <c r="B233" t="s">
        <v>28</v>
      </c>
      <c r="C233" t="s">
        <v>692</v>
      </c>
      <c r="D233" t="s">
        <v>693</v>
      </c>
      <c r="F233" t="s">
        <v>31</v>
      </c>
      <c r="G233" t="s">
        <v>692</v>
      </c>
      <c r="M233" t="s">
        <v>8</v>
      </c>
      <c r="N233" t="s">
        <v>9</v>
      </c>
      <c r="O233" s="14">
        <v>0</v>
      </c>
      <c r="P233" s="14">
        <v>1</v>
      </c>
      <c r="X233">
        <v>0</v>
      </c>
      <c r="Y233" s="14">
        <v>0</v>
      </c>
      <c r="Z233" s="14">
        <v>0</v>
      </c>
      <c r="AA233" s="14">
        <v>0</v>
      </c>
      <c r="AG233" t="s">
        <v>692</v>
      </c>
      <c r="AI233" t="s">
        <v>61</v>
      </c>
    </row>
    <row r="234" spans="2:35" x14ac:dyDescent="0.3">
      <c r="B234" t="s">
        <v>34</v>
      </c>
      <c r="C234" t="s">
        <v>694</v>
      </c>
      <c r="F234" t="s">
        <v>32</v>
      </c>
      <c r="Y234" t="s">
        <v>8</v>
      </c>
      <c r="Z234" t="s">
        <v>8</v>
      </c>
    </row>
    <row r="235" spans="2:35" x14ac:dyDescent="0.3">
      <c r="B235" t="s">
        <v>63</v>
      </c>
      <c r="C235" t="s">
        <v>695</v>
      </c>
      <c r="D235" t="s">
        <v>696</v>
      </c>
      <c r="E235">
        <v>22</v>
      </c>
      <c r="AI235" t="s">
        <v>61</v>
      </c>
    </row>
    <row r="236" spans="2:35" x14ac:dyDescent="0.3">
      <c r="B236" t="s">
        <v>38</v>
      </c>
      <c r="C236" t="s">
        <v>697</v>
      </c>
      <c r="D236" t="s">
        <v>960</v>
      </c>
      <c r="F236" t="s">
        <v>10</v>
      </c>
      <c r="G236" t="s">
        <v>698</v>
      </c>
      <c r="H236" t="b">
        <v>0</v>
      </c>
      <c r="I236" t="s">
        <v>13</v>
      </c>
      <c r="J236" t="b">
        <v>0</v>
      </c>
      <c r="Y236" t="s">
        <v>62</v>
      </c>
      <c r="AG236" t="s">
        <v>585</v>
      </c>
      <c r="AI236" t="s">
        <v>61</v>
      </c>
    </row>
    <row r="237" spans="2:35" x14ac:dyDescent="0.3">
      <c r="B237" t="s">
        <v>38</v>
      </c>
      <c r="C237" t="s">
        <v>699</v>
      </c>
      <c r="D237" t="s">
        <v>700</v>
      </c>
      <c r="F237" t="s">
        <v>11</v>
      </c>
      <c r="G237" t="s">
        <v>701</v>
      </c>
      <c r="H237" t="b">
        <v>1</v>
      </c>
      <c r="I237" t="s">
        <v>68</v>
      </c>
      <c r="J237" t="b">
        <v>1</v>
      </c>
      <c r="Y237" t="s">
        <v>69</v>
      </c>
      <c r="AG237" t="s">
        <v>585</v>
      </c>
      <c r="AI237" t="s">
        <v>61</v>
      </c>
    </row>
    <row r="238" spans="2:35" x14ac:dyDescent="0.3">
      <c r="B238" t="s">
        <v>38</v>
      </c>
      <c r="C238" t="s">
        <v>702</v>
      </c>
      <c r="D238" t="s">
        <v>961</v>
      </c>
      <c r="F238" t="s">
        <v>12</v>
      </c>
      <c r="G238" t="s">
        <v>703</v>
      </c>
      <c r="H238" t="b">
        <v>0</v>
      </c>
      <c r="I238" t="s">
        <v>13</v>
      </c>
      <c r="J238" t="b">
        <v>0</v>
      </c>
      <c r="Y238" t="s">
        <v>62</v>
      </c>
      <c r="AG238" t="s">
        <v>589</v>
      </c>
      <c r="AI238" t="s">
        <v>61</v>
      </c>
    </row>
    <row r="239" spans="2:35" x14ac:dyDescent="0.3">
      <c r="B239" t="s">
        <v>38</v>
      </c>
      <c r="C239" t="s">
        <v>704</v>
      </c>
      <c r="D239" t="s">
        <v>705</v>
      </c>
      <c r="F239" t="s">
        <v>14</v>
      </c>
      <c r="G239" t="s">
        <v>706</v>
      </c>
      <c r="H239" t="b">
        <v>1</v>
      </c>
      <c r="I239" t="s">
        <v>68</v>
      </c>
      <c r="J239" t="b">
        <v>1</v>
      </c>
      <c r="Y239" t="s">
        <v>69</v>
      </c>
      <c r="AG239" t="s">
        <v>589</v>
      </c>
      <c r="AI239" t="s">
        <v>61</v>
      </c>
    </row>
    <row r="240" spans="2:35" x14ac:dyDescent="0.3">
      <c r="B240" t="s">
        <v>38</v>
      </c>
      <c r="C240" t="s">
        <v>707</v>
      </c>
      <c r="D240" t="s">
        <v>708</v>
      </c>
      <c r="F240" t="s">
        <v>15</v>
      </c>
      <c r="G240" t="s">
        <v>709</v>
      </c>
      <c r="H240" t="b">
        <v>0</v>
      </c>
      <c r="I240" t="s">
        <v>13</v>
      </c>
      <c r="J240" t="b">
        <v>0</v>
      </c>
      <c r="Y240" t="s">
        <v>62</v>
      </c>
      <c r="AG240" t="s">
        <v>592</v>
      </c>
      <c r="AI240" t="s">
        <v>61</v>
      </c>
    </row>
    <row r="241" spans="2:35" x14ac:dyDescent="0.3">
      <c r="B241" t="s">
        <v>38</v>
      </c>
      <c r="C241" t="s">
        <v>710</v>
      </c>
      <c r="D241" t="s">
        <v>711</v>
      </c>
      <c r="F241" t="s">
        <v>16</v>
      </c>
      <c r="G241" t="s">
        <v>712</v>
      </c>
      <c r="H241" t="b">
        <v>1</v>
      </c>
      <c r="I241" t="s">
        <v>68</v>
      </c>
      <c r="J241" t="b">
        <v>1</v>
      </c>
      <c r="Y241" t="s">
        <v>69</v>
      </c>
      <c r="AG241" t="s">
        <v>592</v>
      </c>
      <c r="AI241" t="s">
        <v>61</v>
      </c>
    </row>
    <row r="242" spans="2:35" x14ac:dyDescent="0.3">
      <c r="B242" t="s">
        <v>38</v>
      </c>
      <c r="C242" t="s">
        <v>713</v>
      </c>
      <c r="D242" t="s">
        <v>962</v>
      </c>
      <c r="F242" t="s">
        <v>18</v>
      </c>
      <c r="G242" t="s">
        <v>714</v>
      </c>
      <c r="H242" t="b">
        <v>0</v>
      </c>
      <c r="I242" t="s">
        <v>13</v>
      </c>
      <c r="J242" t="b">
        <v>0</v>
      </c>
      <c r="Y242" t="s">
        <v>69</v>
      </c>
      <c r="AG242" t="s">
        <v>595</v>
      </c>
      <c r="AI242" t="s">
        <v>61</v>
      </c>
    </row>
    <row r="243" spans="2:35" x14ac:dyDescent="0.3">
      <c r="B243" t="s">
        <v>38</v>
      </c>
      <c r="C243" t="s">
        <v>715</v>
      </c>
      <c r="D243" t="s">
        <v>963</v>
      </c>
      <c r="F243" t="s">
        <v>19</v>
      </c>
      <c r="G243" t="s">
        <v>716</v>
      </c>
      <c r="H243" t="b">
        <v>0</v>
      </c>
      <c r="I243" t="s">
        <v>13</v>
      </c>
      <c r="J243" t="b">
        <v>0</v>
      </c>
      <c r="Y243" t="s">
        <v>62</v>
      </c>
      <c r="AG243" t="s">
        <v>595</v>
      </c>
      <c r="AI243" t="s">
        <v>61</v>
      </c>
    </row>
    <row r="244" spans="2:35" x14ac:dyDescent="0.3">
      <c r="B244" t="s">
        <v>38</v>
      </c>
      <c r="C244" t="s">
        <v>717</v>
      </c>
      <c r="D244" t="s">
        <v>964</v>
      </c>
      <c r="F244" t="s">
        <v>20</v>
      </c>
      <c r="G244" t="s">
        <v>718</v>
      </c>
      <c r="H244" t="b">
        <v>0</v>
      </c>
      <c r="I244" t="s">
        <v>13</v>
      </c>
      <c r="J244" t="b">
        <v>0</v>
      </c>
      <c r="Y244" t="s">
        <v>69</v>
      </c>
      <c r="AG244" t="s">
        <v>598</v>
      </c>
      <c r="AI244" t="s">
        <v>61</v>
      </c>
    </row>
    <row r="245" spans="2:35" x14ac:dyDescent="0.3">
      <c r="B245" t="s">
        <v>38</v>
      </c>
      <c r="C245" t="s">
        <v>719</v>
      </c>
      <c r="D245" t="s">
        <v>965</v>
      </c>
      <c r="F245" t="s">
        <v>21</v>
      </c>
      <c r="G245" t="s">
        <v>720</v>
      </c>
      <c r="H245" t="b">
        <v>0</v>
      </c>
      <c r="I245" t="s">
        <v>13</v>
      </c>
      <c r="J245" t="b">
        <v>0</v>
      </c>
      <c r="Y245" t="s">
        <v>62</v>
      </c>
      <c r="AG245" t="s">
        <v>598</v>
      </c>
      <c r="AI245" t="s">
        <v>61</v>
      </c>
    </row>
    <row r="246" spans="2:35" x14ac:dyDescent="0.3">
      <c r="B246" t="s">
        <v>38</v>
      </c>
      <c r="C246" t="s">
        <v>721</v>
      </c>
      <c r="D246" t="s">
        <v>966</v>
      </c>
      <c r="F246" t="s">
        <v>22</v>
      </c>
      <c r="G246" t="s">
        <v>722</v>
      </c>
      <c r="H246" t="b">
        <v>1</v>
      </c>
      <c r="I246" t="s">
        <v>68</v>
      </c>
      <c r="J246" t="b">
        <v>1</v>
      </c>
      <c r="Y246" t="s">
        <v>69</v>
      </c>
      <c r="AG246" t="s">
        <v>723</v>
      </c>
      <c r="AI246" t="s">
        <v>61</v>
      </c>
    </row>
    <row r="247" spans="2:35" x14ac:dyDescent="0.3">
      <c r="B247" t="s">
        <v>38</v>
      </c>
      <c r="C247" t="s">
        <v>724</v>
      </c>
      <c r="D247" t="s">
        <v>967</v>
      </c>
      <c r="F247" t="s">
        <v>23</v>
      </c>
      <c r="G247" t="s">
        <v>725</v>
      </c>
      <c r="H247" t="b">
        <v>1</v>
      </c>
      <c r="I247" t="s">
        <v>68</v>
      </c>
      <c r="J247" t="b">
        <v>1</v>
      </c>
      <c r="Y247" t="s">
        <v>69</v>
      </c>
      <c r="AG247" t="s">
        <v>726</v>
      </c>
      <c r="AI247" t="s">
        <v>61</v>
      </c>
    </row>
    <row r="248" spans="2:35" x14ac:dyDescent="0.3">
      <c r="B248" t="s">
        <v>38</v>
      </c>
      <c r="C248" t="s">
        <v>727</v>
      </c>
      <c r="D248" t="s">
        <v>968</v>
      </c>
      <c r="F248" t="s">
        <v>24</v>
      </c>
      <c r="G248" t="s">
        <v>728</v>
      </c>
      <c r="H248" t="b">
        <v>1</v>
      </c>
      <c r="I248" t="s">
        <v>68</v>
      </c>
      <c r="J248" t="b">
        <v>1</v>
      </c>
      <c r="Y248" t="s">
        <v>62</v>
      </c>
      <c r="AG248" t="s">
        <v>729</v>
      </c>
      <c r="AI248" t="s">
        <v>61</v>
      </c>
    </row>
    <row r="249" spans="2:35" x14ac:dyDescent="0.3">
      <c r="B249" t="s">
        <v>38</v>
      </c>
      <c r="C249" t="s">
        <v>730</v>
      </c>
      <c r="D249" t="s">
        <v>969</v>
      </c>
      <c r="F249" t="s">
        <v>25</v>
      </c>
      <c r="G249" t="s">
        <v>731</v>
      </c>
      <c r="H249" t="b">
        <v>1</v>
      </c>
      <c r="I249" t="s">
        <v>68</v>
      </c>
      <c r="J249" t="b">
        <v>1</v>
      </c>
      <c r="Y249" t="s">
        <v>62</v>
      </c>
      <c r="AG249" t="s">
        <v>732</v>
      </c>
      <c r="AI249" t="s">
        <v>61</v>
      </c>
    </row>
    <row r="250" spans="2:35" x14ac:dyDescent="0.3">
      <c r="B250" t="s">
        <v>38</v>
      </c>
      <c r="C250" t="s">
        <v>733</v>
      </c>
      <c r="D250" t="s">
        <v>970</v>
      </c>
      <c r="F250" t="s">
        <v>26</v>
      </c>
      <c r="G250" t="s">
        <v>734</v>
      </c>
      <c r="H250" t="b">
        <v>1</v>
      </c>
      <c r="I250" t="s">
        <v>68</v>
      </c>
      <c r="J250" t="b">
        <v>1</v>
      </c>
      <c r="Y250" t="s">
        <v>62</v>
      </c>
      <c r="AG250" t="s">
        <v>735</v>
      </c>
      <c r="AI250" t="s">
        <v>61</v>
      </c>
    </row>
    <row r="251" spans="2:35" x14ac:dyDescent="0.3">
      <c r="B251" t="s">
        <v>38</v>
      </c>
      <c r="C251" t="s">
        <v>736</v>
      </c>
      <c r="D251" t="s">
        <v>971</v>
      </c>
      <c r="F251" t="s">
        <v>27</v>
      </c>
      <c r="G251" t="s">
        <v>737</v>
      </c>
      <c r="H251" t="b">
        <v>0</v>
      </c>
      <c r="I251" t="s">
        <v>13</v>
      </c>
      <c r="J251" t="b">
        <v>0</v>
      </c>
      <c r="Y251" t="s">
        <v>69</v>
      </c>
      <c r="AG251" t="s">
        <v>738</v>
      </c>
      <c r="AI251" t="s">
        <v>61</v>
      </c>
    </row>
    <row r="252" spans="2:35" x14ac:dyDescent="0.3">
      <c r="B252" t="s">
        <v>63</v>
      </c>
      <c r="C252" t="s">
        <v>739</v>
      </c>
      <c r="D252" t="s">
        <v>740</v>
      </c>
      <c r="E252">
        <v>23</v>
      </c>
      <c r="AI252" t="s">
        <v>61</v>
      </c>
    </row>
    <row r="253" spans="2:35" x14ac:dyDescent="0.3">
      <c r="B253" t="s">
        <v>38</v>
      </c>
      <c r="C253" t="s">
        <v>741</v>
      </c>
      <c r="D253" t="s">
        <v>972</v>
      </c>
      <c r="F253" t="s">
        <v>10</v>
      </c>
      <c r="G253" t="s">
        <v>737</v>
      </c>
      <c r="H253" t="b">
        <v>0</v>
      </c>
      <c r="I253" t="s">
        <v>13</v>
      </c>
      <c r="J253" t="b">
        <v>0</v>
      </c>
      <c r="Y253" t="s">
        <v>69</v>
      </c>
      <c r="AG253" t="s">
        <v>735</v>
      </c>
      <c r="AI253" t="s">
        <v>61</v>
      </c>
    </row>
    <row r="254" spans="2:35" x14ac:dyDescent="0.3">
      <c r="B254" t="s">
        <v>38</v>
      </c>
      <c r="C254" t="s">
        <v>742</v>
      </c>
      <c r="D254" t="s">
        <v>993</v>
      </c>
      <c r="F254" t="s">
        <v>11</v>
      </c>
      <c r="G254" t="s">
        <v>743</v>
      </c>
      <c r="H254" t="b">
        <v>1</v>
      </c>
      <c r="I254" t="s">
        <v>68</v>
      </c>
      <c r="J254" t="b">
        <v>1</v>
      </c>
      <c r="Y254" t="s">
        <v>62</v>
      </c>
      <c r="AG254" t="s">
        <v>744</v>
      </c>
      <c r="AI254" t="s">
        <v>61</v>
      </c>
    </row>
    <row r="255" spans="2:35" x14ac:dyDescent="0.3">
      <c r="B255" t="s">
        <v>38</v>
      </c>
      <c r="C255" t="s">
        <v>745</v>
      </c>
      <c r="D255" t="s">
        <v>973</v>
      </c>
      <c r="F255" t="s">
        <v>12</v>
      </c>
      <c r="G255" t="s">
        <v>746</v>
      </c>
      <c r="H255" t="b">
        <v>1</v>
      </c>
      <c r="I255" t="s">
        <v>68</v>
      </c>
      <c r="J255" t="b">
        <v>1</v>
      </c>
      <c r="Y255" t="s">
        <v>62</v>
      </c>
      <c r="AG255" t="s">
        <v>747</v>
      </c>
      <c r="AI255" t="s">
        <v>61</v>
      </c>
    </row>
    <row r="256" spans="2:35" x14ac:dyDescent="0.3">
      <c r="B256" t="s">
        <v>38</v>
      </c>
      <c r="C256" t="s">
        <v>748</v>
      </c>
      <c r="D256" t="s">
        <v>749</v>
      </c>
      <c r="F256" t="s">
        <v>14</v>
      </c>
      <c r="G256" t="s">
        <v>750</v>
      </c>
      <c r="H256" t="b">
        <v>1</v>
      </c>
      <c r="I256" t="s">
        <v>68</v>
      </c>
      <c r="J256" t="b">
        <v>1</v>
      </c>
      <c r="Y256" t="s">
        <v>62</v>
      </c>
      <c r="AG256" t="s">
        <v>751</v>
      </c>
      <c r="AI256" t="s">
        <v>61</v>
      </c>
    </row>
    <row r="257" spans="2:35" x14ac:dyDescent="0.3">
      <c r="B257" t="s">
        <v>38</v>
      </c>
      <c r="C257" t="s">
        <v>752</v>
      </c>
      <c r="D257" t="s">
        <v>753</v>
      </c>
      <c r="F257" t="s">
        <v>15</v>
      </c>
      <c r="G257" t="s">
        <v>754</v>
      </c>
      <c r="H257" t="b">
        <v>1</v>
      </c>
      <c r="I257" t="s">
        <v>68</v>
      </c>
      <c r="J257" t="b">
        <v>1</v>
      </c>
      <c r="Y257" t="s">
        <v>69</v>
      </c>
      <c r="AG257" t="s">
        <v>751</v>
      </c>
      <c r="AI257" t="s">
        <v>61</v>
      </c>
    </row>
    <row r="258" spans="2:35" x14ac:dyDescent="0.3">
      <c r="B258" t="s">
        <v>38</v>
      </c>
      <c r="C258" t="s">
        <v>755</v>
      </c>
      <c r="D258" t="s">
        <v>756</v>
      </c>
      <c r="F258" t="s">
        <v>16</v>
      </c>
      <c r="G258" t="s">
        <v>757</v>
      </c>
      <c r="H258" t="b">
        <v>1</v>
      </c>
      <c r="I258" t="s">
        <v>68</v>
      </c>
      <c r="J258" t="b">
        <v>1</v>
      </c>
      <c r="Y258" t="s">
        <v>62</v>
      </c>
      <c r="AG258" t="s">
        <v>758</v>
      </c>
      <c r="AI258" t="s">
        <v>61</v>
      </c>
    </row>
    <row r="259" spans="2:35" x14ac:dyDescent="0.3">
      <c r="B259" t="s">
        <v>38</v>
      </c>
      <c r="C259" t="s">
        <v>759</v>
      </c>
      <c r="D259" t="s">
        <v>760</v>
      </c>
      <c r="F259" t="s">
        <v>18</v>
      </c>
      <c r="G259" t="s">
        <v>761</v>
      </c>
      <c r="H259" t="b">
        <v>1</v>
      </c>
      <c r="I259" t="s">
        <v>68</v>
      </c>
      <c r="J259" t="b">
        <v>1</v>
      </c>
      <c r="Y259" t="s">
        <v>69</v>
      </c>
      <c r="AG259" t="s">
        <v>758</v>
      </c>
      <c r="AI259" t="s">
        <v>61</v>
      </c>
    </row>
    <row r="260" spans="2:35" x14ac:dyDescent="0.3">
      <c r="B260" t="s">
        <v>38</v>
      </c>
      <c r="C260" t="s">
        <v>762</v>
      </c>
      <c r="D260" t="s">
        <v>763</v>
      </c>
      <c r="F260" t="s">
        <v>19</v>
      </c>
      <c r="G260" t="s">
        <v>762</v>
      </c>
      <c r="H260" t="b">
        <v>1</v>
      </c>
      <c r="I260" t="s">
        <v>68</v>
      </c>
      <c r="J260" t="b">
        <v>1</v>
      </c>
      <c r="Y260" t="s">
        <v>69</v>
      </c>
      <c r="AG260" t="s">
        <v>762</v>
      </c>
      <c r="AI260" t="s">
        <v>61</v>
      </c>
    </row>
    <row r="261" spans="2:35" x14ac:dyDescent="0.3">
      <c r="B261" t="s">
        <v>38</v>
      </c>
      <c r="C261" t="s">
        <v>764</v>
      </c>
      <c r="D261" t="s">
        <v>765</v>
      </c>
      <c r="F261" t="s">
        <v>20</v>
      </c>
      <c r="G261" t="s">
        <v>764</v>
      </c>
      <c r="H261" t="b">
        <v>1</v>
      </c>
      <c r="I261" t="s">
        <v>68</v>
      </c>
      <c r="J261" t="b">
        <v>1</v>
      </c>
      <c r="Y261" t="s">
        <v>69</v>
      </c>
      <c r="AG261" t="s">
        <v>764</v>
      </c>
      <c r="AI261" t="s">
        <v>61</v>
      </c>
    </row>
    <row r="262" spans="2:35" x14ac:dyDescent="0.3">
      <c r="B262" t="s">
        <v>38</v>
      </c>
      <c r="C262" t="s">
        <v>766</v>
      </c>
      <c r="D262" t="s">
        <v>767</v>
      </c>
      <c r="F262" t="s">
        <v>21</v>
      </c>
      <c r="G262" t="s">
        <v>766</v>
      </c>
      <c r="H262" t="b">
        <v>1</v>
      </c>
      <c r="I262" t="s">
        <v>68</v>
      </c>
      <c r="J262" t="b">
        <v>1</v>
      </c>
      <c r="Y262" t="s">
        <v>69</v>
      </c>
      <c r="AG262" t="s">
        <v>766</v>
      </c>
      <c r="AI262" t="s">
        <v>61</v>
      </c>
    </row>
    <row r="263" spans="2:35" x14ac:dyDescent="0.3">
      <c r="B263" t="s">
        <v>38</v>
      </c>
      <c r="C263" t="s">
        <v>768</v>
      </c>
      <c r="D263" t="s">
        <v>769</v>
      </c>
      <c r="F263" t="s">
        <v>22</v>
      </c>
      <c r="G263" t="s">
        <v>768</v>
      </c>
      <c r="H263" t="b">
        <v>1</v>
      </c>
      <c r="I263" t="s">
        <v>68</v>
      </c>
      <c r="J263" t="b">
        <v>1</v>
      </c>
      <c r="Y263" t="s">
        <v>69</v>
      </c>
      <c r="AG263" t="s">
        <v>768</v>
      </c>
      <c r="AI263" t="s">
        <v>61</v>
      </c>
    </row>
    <row r="264" spans="2:35" x14ac:dyDescent="0.3">
      <c r="B264" t="s">
        <v>38</v>
      </c>
      <c r="C264" t="s">
        <v>770</v>
      </c>
      <c r="D264" t="s">
        <v>771</v>
      </c>
      <c r="F264" t="s">
        <v>23</v>
      </c>
      <c r="G264" t="s">
        <v>770</v>
      </c>
      <c r="H264" t="b">
        <v>1</v>
      </c>
      <c r="I264" t="s">
        <v>68</v>
      </c>
      <c r="J264" t="b">
        <v>1</v>
      </c>
      <c r="Y264" t="s">
        <v>69</v>
      </c>
      <c r="AG264" t="s">
        <v>770</v>
      </c>
      <c r="AI264" t="s">
        <v>61</v>
      </c>
    </row>
    <row r="265" spans="2:35" x14ac:dyDescent="0.3">
      <c r="B265" t="s">
        <v>38</v>
      </c>
      <c r="C265" t="s">
        <v>772</v>
      </c>
      <c r="D265" t="s">
        <v>773</v>
      </c>
      <c r="F265" t="s">
        <v>24</v>
      </c>
      <c r="G265" t="s">
        <v>772</v>
      </c>
      <c r="H265" t="b">
        <v>1</v>
      </c>
      <c r="I265" t="s">
        <v>68</v>
      </c>
      <c r="J265" t="b">
        <v>1</v>
      </c>
      <c r="Y265" t="s">
        <v>69</v>
      </c>
      <c r="AG265" t="s">
        <v>772</v>
      </c>
      <c r="AI265" t="s">
        <v>61</v>
      </c>
    </row>
    <row r="266" spans="2:35" x14ac:dyDescent="0.3">
      <c r="B266" t="s">
        <v>38</v>
      </c>
      <c r="C266" t="s">
        <v>774</v>
      </c>
      <c r="D266" t="s">
        <v>775</v>
      </c>
      <c r="F266" t="s">
        <v>25</v>
      </c>
      <c r="G266" t="s">
        <v>774</v>
      </c>
      <c r="H266" t="b">
        <v>1</v>
      </c>
      <c r="I266" t="s">
        <v>68</v>
      </c>
      <c r="J266" t="b">
        <v>1</v>
      </c>
      <c r="Y266" t="s">
        <v>69</v>
      </c>
      <c r="AG266" t="s">
        <v>774</v>
      </c>
      <c r="AI266" t="s">
        <v>61</v>
      </c>
    </row>
    <row r="267" spans="2:35" x14ac:dyDescent="0.3">
      <c r="B267" t="s">
        <v>38</v>
      </c>
      <c r="C267" t="s">
        <v>776</v>
      </c>
      <c r="D267" t="s">
        <v>777</v>
      </c>
      <c r="F267" t="s">
        <v>26</v>
      </c>
      <c r="G267" t="s">
        <v>776</v>
      </c>
      <c r="H267" t="b">
        <v>1</v>
      </c>
      <c r="I267" t="s">
        <v>68</v>
      </c>
      <c r="J267" t="b">
        <v>1</v>
      </c>
      <c r="Y267" t="s">
        <v>69</v>
      </c>
      <c r="AG267" t="s">
        <v>776</v>
      </c>
      <c r="AI267" t="s">
        <v>61</v>
      </c>
    </row>
    <row r="268" spans="2:35" x14ac:dyDescent="0.3">
      <c r="B268" t="s">
        <v>38</v>
      </c>
      <c r="C268" t="s">
        <v>778</v>
      </c>
      <c r="D268" t="s">
        <v>779</v>
      </c>
      <c r="F268" t="s">
        <v>27</v>
      </c>
      <c r="G268" t="s">
        <v>778</v>
      </c>
      <c r="H268" t="b">
        <v>1</v>
      </c>
      <c r="I268" t="s">
        <v>68</v>
      </c>
      <c r="J268" t="b">
        <v>1</v>
      </c>
      <c r="Y268" t="s">
        <v>69</v>
      </c>
      <c r="AG268" t="s">
        <v>778</v>
      </c>
      <c r="AI268" t="s">
        <v>61</v>
      </c>
    </row>
    <row r="269" spans="2:35" x14ac:dyDescent="0.3">
      <c r="B269" t="s">
        <v>411</v>
      </c>
      <c r="C269" t="s">
        <v>780</v>
      </c>
      <c r="D269" t="s">
        <v>781</v>
      </c>
      <c r="E269">
        <v>24</v>
      </c>
      <c r="AI269" t="s">
        <v>61</v>
      </c>
    </row>
    <row r="270" spans="2:35" x14ac:dyDescent="0.3">
      <c r="B270" t="s">
        <v>235</v>
      </c>
      <c r="C270" t="s">
        <v>782</v>
      </c>
      <c r="D270" t="s">
        <v>783</v>
      </c>
      <c r="F270" t="s">
        <v>10</v>
      </c>
      <c r="G270" t="s">
        <v>784</v>
      </c>
      <c r="M270" t="s">
        <v>8</v>
      </c>
      <c r="N270" t="s">
        <v>9</v>
      </c>
      <c r="O270" s="14">
        <v>0</v>
      </c>
      <c r="P270" s="14">
        <v>1</v>
      </c>
      <c r="S270" s="14">
        <v>0</v>
      </c>
      <c r="W270" t="b">
        <v>1</v>
      </c>
      <c r="X270">
        <v>0</v>
      </c>
      <c r="Y270" s="14">
        <v>0.50349999999999995</v>
      </c>
      <c r="AG270" t="s">
        <v>785</v>
      </c>
      <c r="AI270" t="s">
        <v>61</v>
      </c>
    </row>
    <row r="271" spans="2:35" x14ac:dyDescent="0.3">
      <c r="B271" t="s">
        <v>235</v>
      </c>
      <c r="C271" t="s">
        <v>786</v>
      </c>
      <c r="D271" t="s">
        <v>787</v>
      </c>
      <c r="F271" t="s">
        <v>11</v>
      </c>
      <c r="G271" t="s">
        <v>788</v>
      </c>
      <c r="M271" t="s">
        <v>8</v>
      </c>
      <c r="N271" t="s">
        <v>9</v>
      </c>
      <c r="O271" t="s">
        <v>427</v>
      </c>
      <c r="P271" t="s">
        <v>428</v>
      </c>
      <c r="S271" t="s">
        <v>6</v>
      </c>
      <c r="W271" t="b">
        <v>1</v>
      </c>
      <c r="X271">
        <v>0</v>
      </c>
      <c r="Y271" t="s">
        <v>789</v>
      </c>
      <c r="AG271" t="s">
        <v>785</v>
      </c>
      <c r="AI271" t="s">
        <v>61</v>
      </c>
    </row>
    <row r="272" spans="2:35" x14ac:dyDescent="0.3">
      <c r="B272" t="s">
        <v>235</v>
      </c>
      <c r="C272" t="s">
        <v>790</v>
      </c>
      <c r="D272" t="s">
        <v>791</v>
      </c>
      <c r="F272" t="s">
        <v>12</v>
      </c>
      <c r="G272" t="s">
        <v>792</v>
      </c>
      <c r="M272" t="s">
        <v>8</v>
      </c>
      <c r="N272" t="s">
        <v>9</v>
      </c>
      <c r="O272" s="14">
        <v>0</v>
      </c>
      <c r="P272" s="14">
        <v>1</v>
      </c>
      <c r="S272" s="14">
        <v>0</v>
      </c>
      <c r="W272" t="b">
        <v>1</v>
      </c>
      <c r="X272">
        <v>0</v>
      </c>
      <c r="Y272" s="14">
        <v>0.49740000000000001</v>
      </c>
      <c r="AG272" t="s">
        <v>793</v>
      </c>
      <c r="AI272" t="s">
        <v>61</v>
      </c>
    </row>
    <row r="273" spans="2:35" x14ac:dyDescent="0.3">
      <c r="B273" t="s">
        <v>235</v>
      </c>
      <c r="C273" t="s">
        <v>794</v>
      </c>
      <c r="D273" t="s">
        <v>795</v>
      </c>
      <c r="F273" t="s">
        <v>14</v>
      </c>
      <c r="G273" t="s">
        <v>796</v>
      </c>
      <c r="M273" t="s">
        <v>8</v>
      </c>
      <c r="N273" t="s">
        <v>9</v>
      </c>
      <c r="O273" t="s">
        <v>427</v>
      </c>
      <c r="P273" t="s">
        <v>428</v>
      </c>
      <c r="S273" t="s">
        <v>6</v>
      </c>
      <c r="W273" t="b">
        <v>1</v>
      </c>
      <c r="X273">
        <v>0</v>
      </c>
      <c r="Y273" t="s">
        <v>797</v>
      </c>
      <c r="AG273" t="s">
        <v>793</v>
      </c>
      <c r="AI273" t="s">
        <v>61</v>
      </c>
    </row>
    <row r="274" spans="2:35" x14ac:dyDescent="0.3">
      <c r="B274" t="s">
        <v>235</v>
      </c>
      <c r="C274" t="s">
        <v>798</v>
      </c>
      <c r="D274" t="s">
        <v>799</v>
      </c>
      <c r="F274" t="s">
        <v>15</v>
      </c>
      <c r="G274" t="s">
        <v>800</v>
      </c>
      <c r="M274" t="s">
        <v>8</v>
      </c>
      <c r="N274" t="s">
        <v>9</v>
      </c>
      <c r="O274" s="14">
        <v>0</v>
      </c>
      <c r="P274" s="14">
        <v>1</v>
      </c>
      <c r="S274" s="14">
        <v>0</v>
      </c>
      <c r="W274" t="b">
        <v>1</v>
      </c>
      <c r="X274">
        <v>0</v>
      </c>
      <c r="Y274" s="14">
        <v>0.54020000000000001</v>
      </c>
      <c r="AG274" t="s">
        <v>446</v>
      </c>
      <c r="AI274" t="s">
        <v>61</v>
      </c>
    </row>
    <row r="275" spans="2:35" x14ac:dyDescent="0.3">
      <c r="B275" t="s">
        <v>235</v>
      </c>
      <c r="C275" t="s">
        <v>801</v>
      </c>
      <c r="D275" t="s">
        <v>802</v>
      </c>
      <c r="F275" t="s">
        <v>16</v>
      </c>
      <c r="G275" t="s">
        <v>803</v>
      </c>
      <c r="M275" t="s">
        <v>8</v>
      </c>
      <c r="N275" t="s">
        <v>9</v>
      </c>
      <c r="O275" t="s">
        <v>427</v>
      </c>
      <c r="P275" t="s">
        <v>428</v>
      </c>
      <c r="S275" t="s">
        <v>6</v>
      </c>
      <c r="W275" t="b">
        <v>1</v>
      </c>
      <c r="X275">
        <v>0</v>
      </c>
      <c r="Y275" t="s">
        <v>804</v>
      </c>
      <c r="AG275" t="s">
        <v>446</v>
      </c>
      <c r="AI275" t="s">
        <v>61</v>
      </c>
    </row>
    <row r="276" spans="2:35" x14ac:dyDescent="0.3">
      <c r="B276" t="s">
        <v>235</v>
      </c>
      <c r="C276" t="s">
        <v>805</v>
      </c>
      <c r="D276" t="s">
        <v>975</v>
      </c>
      <c r="F276" t="s">
        <v>18</v>
      </c>
      <c r="G276" t="s">
        <v>806</v>
      </c>
      <c r="M276" t="s">
        <v>8</v>
      </c>
      <c r="N276" t="s">
        <v>9</v>
      </c>
      <c r="O276" s="14">
        <v>0</v>
      </c>
      <c r="P276" s="14">
        <v>1</v>
      </c>
      <c r="S276" s="14">
        <v>0</v>
      </c>
      <c r="W276" t="b">
        <v>1</v>
      </c>
      <c r="X276">
        <v>0</v>
      </c>
      <c r="Y276" s="14">
        <v>0</v>
      </c>
      <c r="AG276" t="s">
        <v>449</v>
      </c>
      <c r="AI276" t="s">
        <v>61</v>
      </c>
    </row>
    <row r="277" spans="2:35" x14ac:dyDescent="0.3">
      <c r="B277" t="s">
        <v>17</v>
      </c>
      <c r="C277" t="s">
        <v>807</v>
      </c>
      <c r="D277" t="s">
        <v>974</v>
      </c>
      <c r="F277" t="s">
        <v>19</v>
      </c>
      <c r="G277" t="s">
        <v>808</v>
      </c>
      <c r="L277" t="s">
        <v>61</v>
      </c>
      <c r="S277" t="s">
        <v>7</v>
      </c>
      <c r="W277" t="b">
        <v>1</v>
      </c>
      <c r="X277" t="s">
        <v>7</v>
      </c>
      <c r="Y277" t="s">
        <v>415</v>
      </c>
      <c r="AG277" t="s">
        <v>449</v>
      </c>
      <c r="AI277" t="s">
        <v>61</v>
      </c>
    </row>
    <row r="278" spans="2:35" x14ac:dyDescent="0.3">
      <c r="B278" t="s">
        <v>17</v>
      </c>
      <c r="C278" t="s">
        <v>809</v>
      </c>
      <c r="D278" t="s">
        <v>810</v>
      </c>
      <c r="F278" t="s">
        <v>20</v>
      </c>
      <c r="G278" t="s">
        <v>811</v>
      </c>
      <c r="L278" t="s">
        <v>61</v>
      </c>
      <c r="S278" t="s">
        <v>7</v>
      </c>
      <c r="W278" t="b">
        <v>1</v>
      </c>
      <c r="X278" t="s">
        <v>7</v>
      </c>
      <c r="Y278" t="s">
        <v>415</v>
      </c>
      <c r="AG278" t="s">
        <v>812</v>
      </c>
      <c r="AI278" t="s">
        <v>61</v>
      </c>
    </row>
    <row r="279" spans="2:35" x14ac:dyDescent="0.3">
      <c r="B279" t="s">
        <v>17</v>
      </c>
      <c r="C279" t="s">
        <v>813</v>
      </c>
      <c r="D279" t="s">
        <v>814</v>
      </c>
      <c r="F279" t="s">
        <v>21</v>
      </c>
      <c r="G279" t="s">
        <v>815</v>
      </c>
      <c r="L279" t="s">
        <v>61</v>
      </c>
      <c r="S279" t="s">
        <v>7</v>
      </c>
      <c r="W279" t="b">
        <v>1</v>
      </c>
      <c r="X279" t="s">
        <v>7</v>
      </c>
      <c r="Y279" t="s">
        <v>415</v>
      </c>
      <c r="AG279" t="s">
        <v>816</v>
      </c>
      <c r="AI279" t="s">
        <v>61</v>
      </c>
    </row>
    <row r="280" spans="2:35" x14ac:dyDescent="0.3">
      <c r="B280" t="s">
        <v>17</v>
      </c>
      <c r="C280" t="s">
        <v>817</v>
      </c>
      <c r="D280" t="s">
        <v>818</v>
      </c>
      <c r="F280" t="s">
        <v>22</v>
      </c>
      <c r="G280" t="s">
        <v>819</v>
      </c>
      <c r="L280" t="s">
        <v>61</v>
      </c>
      <c r="S280" t="s">
        <v>7</v>
      </c>
      <c r="W280" t="b">
        <v>1</v>
      </c>
      <c r="X280" t="s">
        <v>7</v>
      </c>
      <c r="Y280" t="s">
        <v>415</v>
      </c>
      <c r="AG280" t="s">
        <v>820</v>
      </c>
      <c r="AI280" t="s">
        <v>61</v>
      </c>
    </row>
    <row r="281" spans="2:35" x14ac:dyDescent="0.3">
      <c r="B281" t="s">
        <v>17</v>
      </c>
      <c r="C281" t="s">
        <v>821</v>
      </c>
      <c r="D281" t="s">
        <v>822</v>
      </c>
      <c r="F281" t="s">
        <v>23</v>
      </c>
      <c r="G281" t="s">
        <v>823</v>
      </c>
      <c r="L281" t="s">
        <v>61</v>
      </c>
      <c r="S281" t="s">
        <v>7</v>
      </c>
      <c r="W281" t="b">
        <v>1</v>
      </c>
      <c r="X281" t="s">
        <v>7</v>
      </c>
      <c r="Y281" t="s">
        <v>415</v>
      </c>
      <c r="AG281" t="s">
        <v>824</v>
      </c>
      <c r="AI281" t="s">
        <v>61</v>
      </c>
    </row>
    <row r="282" spans="2:35" x14ac:dyDescent="0.3">
      <c r="B282" t="s">
        <v>235</v>
      </c>
      <c r="C282" t="s">
        <v>825</v>
      </c>
      <c r="D282" t="s">
        <v>826</v>
      </c>
      <c r="F282" t="s">
        <v>24</v>
      </c>
      <c r="G282" t="s">
        <v>827</v>
      </c>
      <c r="M282" t="s">
        <v>8</v>
      </c>
      <c r="N282" t="s">
        <v>9</v>
      </c>
      <c r="O282" t="s">
        <v>474</v>
      </c>
      <c r="P282" t="s">
        <v>475</v>
      </c>
      <c r="S282" t="s">
        <v>474</v>
      </c>
      <c r="W282" t="b">
        <v>1</v>
      </c>
      <c r="X282">
        <v>0</v>
      </c>
      <c r="Y282" t="s">
        <v>828</v>
      </c>
      <c r="AG282" t="s">
        <v>829</v>
      </c>
      <c r="AI282" t="s">
        <v>61</v>
      </c>
    </row>
    <row r="283" spans="2:35" x14ac:dyDescent="0.3">
      <c r="B283" t="s">
        <v>235</v>
      </c>
      <c r="C283" t="s">
        <v>830</v>
      </c>
      <c r="D283" t="s">
        <v>831</v>
      </c>
      <c r="F283" t="s">
        <v>25</v>
      </c>
      <c r="G283" t="s">
        <v>832</v>
      </c>
      <c r="M283" t="s">
        <v>8</v>
      </c>
      <c r="N283" t="s">
        <v>9</v>
      </c>
      <c r="O283" t="s">
        <v>474</v>
      </c>
      <c r="P283" t="s">
        <v>475</v>
      </c>
      <c r="S283" t="s">
        <v>474</v>
      </c>
      <c r="W283" t="b">
        <v>1</v>
      </c>
      <c r="X283">
        <v>0</v>
      </c>
      <c r="Y283" t="s">
        <v>833</v>
      </c>
      <c r="AG283" t="s">
        <v>834</v>
      </c>
      <c r="AI283" t="s">
        <v>61</v>
      </c>
    </row>
    <row r="284" spans="2:35" x14ac:dyDescent="0.3">
      <c r="B284" t="s">
        <v>17</v>
      </c>
      <c r="C284" t="s">
        <v>835</v>
      </c>
      <c r="D284" t="s">
        <v>836</v>
      </c>
      <c r="F284" t="s">
        <v>26</v>
      </c>
      <c r="G284" t="s">
        <v>835</v>
      </c>
      <c r="L284" t="s">
        <v>61</v>
      </c>
      <c r="S284" t="s">
        <v>7</v>
      </c>
      <c r="W284" t="b">
        <v>1</v>
      </c>
      <c r="X284" t="s">
        <v>7</v>
      </c>
      <c r="Y284" t="s">
        <v>415</v>
      </c>
      <c r="AG284" t="s">
        <v>835</v>
      </c>
      <c r="AI284" t="s">
        <v>61</v>
      </c>
    </row>
    <row r="285" spans="2:35" x14ac:dyDescent="0.3">
      <c r="B285" t="s">
        <v>17</v>
      </c>
      <c r="C285" t="s">
        <v>837</v>
      </c>
      <c r="D285" t="s">
        <v>838</v>
      </c>
      <c r="F285" t="s">
        <v>27</v>
      </c>
      <c r="G285" t="s">
        <v>837</v>
      </c>
      <c r="L285" t="s">
        <v>61</v>
      </c>
      <c r="S285" t="s">
        <v>7</v>
      </c>
      <c r="W285" t="b">
        <v>1</v>
      </c>
      <c r="X285" t="s">
        <v>7</v>
      </c>
      <c r="Y285" t="s">
        <v>415</v>
      </c>
      <c r="AG285" t="s">
        <v>837</v>
      </c>
      <c r="AI285" t="s">
        <v>61</v>
      </c>
    </row>
    <row r="286" spans="2:35" x14ac:dyDescent="0.3">
      <c r="B286" t="s">
        <v>411</v>
      </c>
      <c r="C286" t="s">
        <v>839</v>
      </c>
      <c r="D286" t="s">
        <v>840</v>
      </c>
      <c r="E286">
        <v>25</v>
      </c>
      <c r="AI286" t="s">
        <v>61</v>
      </c>
    </row>
    <row r="287" spans="2:35" x14ac:dyDescent="0.3">
      <c r="B287" t="s">
        <v>235</v>
      </c>
      <c r="C287" t="s">
        <v>636</v>
      </c>
      <c r="D287" t="s">
        <v>637</v>
      </c>
      <c r="F287" t="s">
        <v>10</v>
      </c>
      <c r="G287" t="s">
        <v>636</v>
      </c>
      <c r="M287" t="s">
        <v>8</v>
      </c>
      <c r="N287" t="s">
        <v>9</v>
      </c>
      <c r="O287" s="14">
        <v>0</v>
      </c>
      <c r="P287" s="14">
        <v>1</v>
      </c>
      <c r="S287" s="14">
        <v>0</v>
      </c>
      <c r="W287" t="b">
        <v>1</v>
      </c>
      <c r="X287">
        <v>0</v>
      </c>
      <c r="Y287" s="14">
        <v>0</v>
      </c>
      <c r="AG287" t="s">
        <v>636</v>
      </c>
      <c r="AI287" t="s">
        <v>61</v>
      </c>
    </row>
    <row r="288" spans="2:35" x14ac:dyDescent="0.3">
      <c r="B288" t="s">
        <v>235</v>
      </c>
      <c r="C288" t="s">
        <v>640</v>
      </c>
      <c r="D288" t="s">
        <v>641</v>
      </c>
      <c r="F288" t="s">
        <v>11</v>
      </c>
      <c r="G288" t="s">
        <v>640</v>
      </c>
      <c r="M288" t="s">
        <v>8</v>
      </c>
      <c r="N288" t="s">
        <v>9</v>
      </c>
      <c r="O288" s="14">
        <v>0</v>
      </c>
      <c r="P288" s="14">
        <v>1</v>
      </c>
      <c r="S288" s="14">
        <v>0</v>
      </c>
      <c r="W288" t="b">
        <v>1</v>
      </c>
      <c r="X288">
        <v>0</v>
      </c>
      <c r="Y288" s="14">
        <v>0</v>
      </c>
      <c r="AG288" t="s">
        <v>640</v>
      </c>
      <c r="AI288" t="s">
        <v>61</v>
      </c>
    </row>
    <row r="289" spans="2:35" x14ac:dyDescent="0.3">
      <c r="B289" t="s">
        <v>235</v>
      </c>
      <c r="C289" t="s">
        <v>841</v>
      </c>
      <c r="D289" t="s">
        <v>842</v>
      </c>
      <c r="F289" t="s">
        <v>12</v>
      </c>
      <c r="G289" t="s">
        <v>841</v>
      </c>
      <c r="M289" t="s">
        <v>8</v>
      </c>
      <c r="N289" t="s">
        <v>9</v>
      </c>
      <c r="O289" s="14">
        <v>0</v>
      </c>
      <c r="P289" s="14">
        <v>1</v>
      </c>
      <c r="S289" s="14">
        <v>0</v>
      </c>
      <c r="W289" t="b">
        <v>1</v>
      </c>
      <c r="X289">
        <v>0</v>
      </c>
      <c r="Y289" s="14">
        <v>0</v>
      </c>
      <c r="AG289" t="s">
        <v>841</v>
      </c>
      <c r="AI289" t="s">
        <v>61</v>
      </c>
    </row>
    <row r="290" spans="2:35" x14ac:dyDescent="0.3">
      <c r="B290" t="s">
        <v>235</v>
      </c>
      <c r="C290" t="s">
        <v>843</v>
      </c>
      <c r="D290" t="s">
        <v>844</v>
      </c>
      <c r="F290" t="s">
        <v>14</v>
      </c>
      <c r="G290" t="s">
        <v>843</v>
      </c>
      <c r="M290" t="s">
        <v>8</v>
      </c>
      <c r="N290" t="s">
        <v>9</v>
      </c>
      <c r="O290" s="14">
        <v>0</v>
      </c>
      <c r="P290" s="14">
        <v>1</v>
      </c>
      <c r="S290" s="14">
        <v>0</v>
      </c>
      <c r="W290" t="b">
        <v>1</v>
      </c>
      <c r="X290">
        <v>0</v>
      </c>
      <c r="Y290" s="14">
        <v>0</v>
      </c>
      <c r="AG290" t="s">
        <v>843</v>
      </c>
      <c r="AI290" t="s">
        <v>61</v>
      </c>
    </row>
    <row r="291" spans="2:35" x14ac:dyDescent="0.3">
      <c r="B291" t="s">
        <v>235</v>
      </c>
      <c r="C291" t="s">
        <v>644</v>
      </c>
      <c r="D291" t="s">
        <v>645</v>
      </c>
      <c r="F291" t="s">
        <v>15</v>
      </c>
      <c r="G291" t="s">
        <v>644</v>
      </c>
      <c r="M291" t="s">
        <v>8</v>
      </c>
      <c r="N291" t="s">
        <v>9</v>
      </c>
      <c r="O291" s="14">
        <v>0</v>
      </c>
      <c r="P291" s="14">
        <v>1</v>
      </c>
      <c r="S291" s="14">
        <v>0</v>
      </c>
      <c r="W291" t="b">
        <v>1</v>
      </c>
      <c r="X291">
        <v>0</v>
      </c>
      <c r="Y291" s="14">
        <v>0</v>
      </c>
      <c r="AG291" t="s">
        <v>644</v>
      </c>
      <c r="AI291" t="s">
        <v>61</v>
      </c>
    </row>
    <row r="292" spans="2:35" x14ac:dyDescent="0.3">
      <c r="B292" t="s">
        <v>235</v>
      </c>
      <c r="C292" t="s">
        <v>650</v>
      </c>
      <c r="D292" t="s">
        <v>651</v>
      </c>
      <c r="F292" t="s">
        <v>16</v>
      </c>
      <c r="G292" t="s">
        <v>650</v>
      </c>
      <c r="M292" t="s">
        <v>8</v>
      </c>
      <c r="N292" t="s">
        <v>9</v>
      </c>
      <c r="O292" s="14">
        <v>0</v>
      </c>
      <c r="P292" s="14">
        <v>1</v>
      </c>
      <c r="S292" s="14">
        <v>0</v>
      </c>
      <c r="W292" t="b">
        <v>1</v>
      </c>
      <c r="X292">
        <v>0</v>
      </c>
      <c r="Y292" s="14">
        <v>0</v>
      </c>
      <c r="AG292" t="s">
        <v>650</v>
      </c>
      <c r="AI292" t="s">
        <v>61</v>
      </c>
    </row>
    <row r="293" spans="2:35" x14ac:dyDescent="0.3">
      <c r="B293" t="s">
        <v>38</v>
      </c>
      <c r="C293" t="s">
        <v>845</v>
      </c>
      <c r="D293" t="s">
        <v>846</v>
      </c>
      <c r="F293" t="s">
        <v>18</v>
      </c>
      <c r="G293" t="s">
        <v>845</v>
      </c>
      <c r="H293" t="b">
        <v>1</v>
      </c>
      <c r="I293" t="s">
        <v>68</v>
      </c>
      <c r="J293" t="b">
        <v>1</v>
      </c>
      <c r="Y293" t="s">
        <v>69</v>
      </c>
      <c r="AG293" t="s">
        <v>845</v>
      </c>
      <c r="AI293" t="s">
        <v>61</v>
      </c>
    </row>
    <row r="294" spans="2:35" x14ac:dyDescent="0.3">
      <c r="B294" t="s">
        <v>38</v>
      </c>
      <c r="C294" t="s">
        <v>847</v>
      </c>
      <c r="D294" t="s">
        <v>848</v>
      </c>
      <c r="F294" t="s">
        <v>19</v>
      </c>
      <c r="G294" t="s">
        <v>847</v>
      </c>
      <c r="H294" t="b">
        <v>1</v>
      </c>
      <c r="I294" t="s">
        <v>68</v>
      </c>
      <c r="J294" t="b">
        <v>1</v>
      </c>
      <c r="Y294" t="s">
        <v>69</v>
      </c>
      <c r="AG294" t="s">
        <v>847</v>
      </c>
      <c r="AI294" t="s">
        <v>61</v>
      </c>
    </row>
    <row r="295" spans="2:35" x14ac:dyDescent="0.3">
      <c r="B295" t="s">
        <v>235</v>
      </c>
      <c r="C295" t="s">
        <v>849</v>
      </c>
      <c r="D295" t="s">
        <v>850</v>
      </c>
      <c r="F295" t="s">
        <v>20</v>
      </c>
      <c r="G295" t="s">
        <v>849</v>
      </c>
      <c r="M295" t="s">
        <v>8</v>
      </c>
      <c r="N295" t="s">
        <v>9</v>
      </c>
      <c r="O295" s="14">
        <v>0</v>
      </c>
      <c r="P295" s="14">
        <v>1</v>
      </c>
      <c r="S295" s="14">
        <v>0</v>
      </c>
      <c r="W295" t="b">
        <v>1</v>
      </c>
      <c r="X295">
        <v>0</v>
      </c>
      <c r="Y295" s="14">
        <v>0</v>
      </c>
      <c r="AG295" t="s">
        <v>849</v>
      </c>
      <c r="AI295" t="s">
        <v>61</v>
      </c>
    </row>
    <row r="296" spans="2:35" x14ac:dyDescent="0.3">
      <c r="B296" t="s">
        <v>235</v>
      </c>
      <c r="C296" t="s">
        <v>851</v>
      </c>
      <c r="D296" t="s">
        <v>852</v>
      </c>
      <c r="F296" t="s">
        <v>21</v>
      </c>
      <c r="G296" t="s">
        <v>851</v>
      </c>
      <c r="M296" t="s">
        <v>8</v>
      </c>
      <c r="N296" t="s">
        <v>9</v>
      </c>
      <c r="O296" s="14">
        <v>0</v>
      </c>
      <c r="P296" s="14">
        <v>1</v>
      </c>
      <c r="S296" s="14">
        <v>0</v>
      </c>
      <c r="W296" t="b">
        <v>1</v>
      </c>
      <c r="X296">
        <v>0</v>
      </c>
      <c r="Y296" s="14">
        <v>0</v>
      </c>
      <c r="AG296" t="s">
        <v>851</v>
      </c>
      <c r="AI296" t="s">
        <v>61</v>
      </c>
    </row>
    <row r="297" spans="2:35" x14ac:dyDescent="0.3">
      <c r="B297" t="s">
        <v>235</v>
      </c>
      <c r="C297" t="s">
        <v>654</v>
      </c>
      <c r="D297" t="s">
        <v>655</v>
      </c>
      <c r="F297" t="s">
        <v>22</v>
      </c>
      <c r="G297" t="s">
        <v>654</v>
      </c>
      <c r="M297" t="s">
        <v>8</v>
      </c>
      <c r="N297" t="s">
        <v>9</v>
      </c>
      <c r="O297" s="14">
        <v>0</v>
      </c>
      <c r="P297" s="14">
        <v>1</v>
      </c>
      <c r="S297" s="14">
        <v>0</v>
      </c>
      <c r="W297" t="b">
        <v>1</v>
      </c>
      <c r="X297">
        <v>0</v>
      </c>
      <c r="Y297" s="14">
        <v>0</v>
      </c>
      <c r="AG297" t="s">
        <v>654</v>
      </c>
      <c r="AI297" t="s">
        <v>61</v>
      </c>
    </row>
    <row r="298" spans="2:35" x14ac:dyDescent="0.3">
      <c r="B298" t="s">
        <v>235</v>
      </c>
      <c r="C298" t="s">
        <v>658</v>
      </c>
      <c r="D298" t="s">
        <v>659</v>
      </c>
      <c r="F298" t="s">
        <v>23</v>
      </c>
      <c r="G298" t="s">
        <v>658</v>
      </c>
      <c r="M298" t="s">
        <v>8</v>
      </c>
      <c r="N298" t="s">
        <v>9</v>
      </c>
      <c r="O298" s="14">
        <v>0</v>
      </c>
      <c r="P298" s="14">
        <v>1</v>
      </c>
      <c r="S298" s="14">
        <v>0</v>
      </c>
      <c r="W298" t="b">
        <v>1</v>
      </c>
      <c r="X298">
        <v>0</v>
      </c>
      <c r="Y298" s="14">
        <v>0</v>
      </c>
      <c r="AG298" t="s">
        <v>658</v>
      </c>
      <c r="AI298" t="s">
        <v>61</v>
      </c>
    </row>
    <row r="299" spans="2:35" x14ac:dyDescent="0.3">
      <c r="B299" t="s">
        <v>38</v>
      </c>
      <c r="C299" t="s">
        <v>853</v>
      </c>
      <c r="D299" t="s">
        <v>854</v>
      </c>
      <c r="F299" t="s">
        <v>24</v>
      </c>
      <c r="G299" t="s">
        <v>853</v>
      </c>
      <c r="H299" t="b">
        <v>1</v>
      </c>
      <c r="I299" t="s">
        <v>68</v>
      </c>
      <c r="J299" t="b">
        <v>1</v>
      </c>
      <c r="Y299" t="s">
        <v>69</v>
      </c>
      <c r="AG299" t="s">
        <v>853</v>
      </c>
      <c r="AI299" t="s">
        <v>61</v>
      </c>
    </row>
    <row r="300" spans="2:35" x14ac:dyDescent="0.3">
      <c r="B300" t="s">
        <v>38</v>
      </c>
      <c r="C300" t="s">
        <v>855</v>
      </c>
      <c r="D300" t="s">
        <v>856</v>
      </c>
      <c r="F300" t="s">
        <v>25</v>
      </c>
      <c r="G300" t="s">
        <v>855</v>
      </c>
      <c r="H300" t="b">
        <v>1</v>
      </c>
      <c r="I300" t="s">
        <v>68</v>
      </c>
      <c r="J300" t="b">
        <v>1</v>
      </c>
      <c r="Y300" t="s">
        <v>69</v>
      </c>
      <c r="AG300" t="s">
        <v>855</v>
      </c>
      <c r="AI300" t="s">
        <v>61</v>
      </c>
    </row>
    <row r="301" spans="2:35" x14ac:dyDescent="0.3">
      <c r="B301" t="s">
        <v>38</v>
      </c>
      <c r="C301" t="s">
        <v>857</v>
      </c>
      <c r="D301" t="s">
        <v>858</v>
      </c>
      <c r="F301" t="s">
        <v>26</v>
      </c>
      <c r="G301" t="s">
        <v>857</v>
      </c>
      <c r="H301" t="b">
        <v>1</v>
      </c>
      <c r="I301" t="s">
        <v>68</v>
      </c>
      <c r="J301" t="b">
        <v>1</v>
      </c>
      <c r="Y301" t="s">
        <v>69</v>
      </c>
      <c r="AG301" t="s">
        <v>857</v>
      </c>
      <c r="AI301" t="s">
        <v>61</v>
      </c>
    </row>
    <row r="302" spans="2:35" x14ac:dyDescent="0.3">
      <c r="B302" t="s">
        <v>39</v>
      </c>
      <c r="C302" t="s">
        <v>859</v>
      </c>
      <c r="F302" t="s">
        <v>27</v>
      </c>
      <c r="K302" t="b">
        <v>0</v>
      </c>
      <c r="V302" t="s">
        <v>5</v>
      </c>
      <c r="Y302" t="s">
        <v>6</v>
      </c>
    </row>
    <row r="303" spans="2:35" x14ac:dyDescent="0.3">
      <c r="B303" t="s">
        <v>411</v>
      </c>
      <c r="C303" t="s">
        <v>860</v>
      </c>
      <c r="D303" t="s">
        <v>861</v>
      </c>
      <c r="E303">
        <v>26</v>
      </c>
      <c r="AI303" t="s">
        <v>61</v>
      </c>
    </row>
    <row r="304" spans="2:35" x14ac:dyDescent="0.3">
      <c r="B304" t="s">
        <v>17</v>
      </c>
      <c r="C304" t="s">
        <v>862</v>
      </c>
      <c r="D304" t="s">
        <v>863</v>
      </c>
      <c r="F304" t="s">
        <v>10</v>
      </c>
      <c r="G304" t="s">
        <v>862</v>
      </c>
      <c r="L304" t="s">
        <v>61</v>
      </c>
      <c r="S304" t="s">
        <v>7</v>
      </c>
      <c r="W304" t="b">
        <v>1</v>
      </c>
      <c r="X304" t="s">
        <v>7</v>
      </c>
      <c r="Y304" t="s">
        <v>415</v>
      </c>
      <c r="AG304" t="s">
        <v>862</v>
      </c>
      <c r="AI304" t="s">
        <v>61</v>
      </c>
    </row>
    <row r="305" spans="2:35" x14ac:dyDescent="0.3">
      <c r="B305" t="s">
        <v>17</v>
      </c>
      <c r="C305" t="s">
        <v>864</v>
      </c>
      <c r="D305" t="s">
        <v>865</v>
      </c>
      <c r="F305" t="s">
        <v>11</v>
      </c>
      <c r="G305" t="s">
        <v>864</v>
      </c>
      <c r="L305" t="s">
        <v>61</v>
      </c>
      <c r="S305" t="s">
        <v>7</v>
      </c>
      <c r="W305" t="b">
        <v>1</v>
      </c>
      <c r="X305" t="s">
        <v>7</v>
      </c>
      <c r="Y305" t="s">
        <v>415</v>
      </c>
      <c r="AG305" t="s">
        <v>864</v>
      </c>
      <c r="AI305" t="s">
        <v>61</v>
      </c>
    </row>
    <row r="306" spans="2:35" x14ac:dyDescent="0.3">
      <c r="B306" t="s">
        <v>17</v>
      </c>
      <c r="C306" t="s">
        <v>662</v>
      </c>
      <c r="D306" t="s">
        <v>663</v>
      </c>
      <c r="F306" t="s">
        <v>12</v>
      </c>
      <c r="G306" t="s">
        <v>662</v>
      </c>
      <c r="L306" t="s">
        <v>61</v>
      </c>
      <c r="S306" t="s">
        <v>7</v>
      </c>
      <c r="W306" t="b">
        <v>1</v>
      </c>
      <c r="X306" t="s">
        <v>7</v>
      </c>
      <c r="Y306" t="s">
        <v>415</v>
      </c>
      <c r="AG306" t="s">
        <v>662</v>
      </c>
      <c r="AI306" t="s">
        <v>61</v>
      </c>
    </row>
    <row r="307" spans="2:35" x14ac:dyDescent="0.3">
      <c r="B307" t="s">
        <v>17</v>
      </c>
      <c r="C307" t="s">
        <v>688</v>
      </c>
      <c r="D307" t="s">
        <v>689</v>
      </c>
      <c r="F307" t="s">
        <v>14</v>
      </c>
      <c r="G307" t="s">
        <v>688</v>
      </c>
      <c r="L307" t="s">
        <v>61</v>
      </c>
      <c r="S307" t="s">
        <v>7</v>
      </c>
      <c r="W307" t="b">
        <v>1</v>
      </c>
      <c r="X307" t="s">
        <v>7</v>
      </c>
      <c r="Y307" t="s">
        <v>415</v>
      </c>
      <c r="AG307" t="s">
        <v>688</v>
      </c>
      <c r="AI307" t="s">
        <v>61</v>
      </c>
    </row>
    <row r="308" spans="2:35" x14ac:dyDescent="0.3">
      <c r="B308" t="s">
        <v>17</v>
      </c>
      <c r="C308" t="s">
        <v>866</v>
      </c>
      <c r="D308" t="s">
        <v>867</v>
      </c>
      <c r="F308" t="s">
        <v>15</v>
      </c>
      <c r="G308" t="s">
        <v>866</v>
      </c>
      <c r="L308" t="s">
        <v>61</v>
      </c>
      <c r="S308" t="s">
        <v>7</v>
      </c>
      <c r="W308" t="b">
        <v>1</v>
      </c>
      <c r="X308" t="s">
        <v>7</v>
      </c>
      <c r="Y308" t="s">
        <v>415</v>
      </c>
      <c r="AG308" t="s">
        <v>866</v>
      </c>
      <c r="AI308" t="s">
        <v>61</v>
      </c>
    </row>
    <row r="309" spans="2:35" x14ac:dyDescent="0.3">
      <c r="B309" t="s">
        <v>17</v>
      </c>
      <c r="C309" t="s">
        <v>868</v>
      </c>
      <c r="D309" t="s">
        <v>869</v>
      </c>
      <c r="F309" t="s">
        <v>16</v>
      </c>
      <c r="G309" t="s">
        <v>868</v>
      </c>
      <c r="L309" t="s">
        <v>61</v>
      </c>
      <c r="S309" t="s">
        <v>7</v>
      </c>
      <c r="W309" t="b">
        <v>1</v>
      </c>
      <c r="X309" t="s">
        <v>7</v>
      </c>
      <c r="Y309" t="s">
        <v>415</v>
      </c>
      <c r="AG309" t="s">
        <v>868</v>
      </c>
      <c r="AI309" t="s">
        <v>61</v>
      </c>
    </row>
    <row r="310" spans="2:35" x14ac:dyDescent="0.3">
      <c r="B310" t="s">
        <v>17</v>
      </c>
      <c r="C310" t="s">
        <v>870</v>
      </c>
      <c r="D310" t="s">
        <v>871</v>
      </c>
      <c r="F310" t="s">
        <v>18</v>
      </c>
      <c r="G310" t="s">
        <v>870</v>
      </c>
      <c r="L310" t="s">
        <v>61</v>
      </c>
      <c r="S310" t="s">
        <v>7</v>
      </c>
      <c r="W310" t="b">
        <v>1</v>
      </c>
      <c r="X310" t="s">
        <v>7</v>
      </c>
      <c r="Y310" t="s">
        <v>415</v>
      </c>
      <c r="AG310" t="s">
        <v>870</v>
      </c>
      <c r="AI310" t="s">
        <v>61</v>
      </c>
    </row>
    <row r="311" spans="2:35" x14ac:dyDescent="0.3">
      <c r="B311" t="s">
        <v>39</v>
      </c>
      <c r="C311" t="s">
        <v>872</v>
      </c>
      <c r="F311" t="s">
        <v>19</v>
      </c>
      <c r="K311" t="b">
        <v>0</v>
      </c>
      <c r="V311" t="s">
        <v>5</v>
      </c>
      <c r="Y311" t="s">
        <v>6</v>
      </c>
    </row>
    <row r="312" spans="2:35" x14ac:dyDescent="0.3">
      <c r="B312" t="s">
        <v>17</v>
      </c>
      <c r="C312" t="s">
        <v>873</v>
      </c>
      <c r="D312" t="s">
        <v>874</v>
      </c>
      <c r="F312" t="s">
        <v>20</v>
      </c>
      <c r="G312" t="s">
        <v>873</v>
      </c>
      <c r="L312" t="s">
        <v>61</v>
      </c>
      <c r="S312" t="s">
        <v>7</v>
      </c>
      <c r="W312" t="b">
        <v>1</v>
      </c>
      <c r="X312" t="s">
        <v>7</v>
      </c>
      <c r="Y312" t="s">
        <v>415</v>
      </c>
      <c r="AG312" t="s">
        <v>873</v>
      </c>
      <c r="AI312" t="s">
        <v>61</v>
      </c>
    </row>
    <row r="313" spans="2:35" x14ac:dyDescent="0.3">
      <c r="B313" t="s">
        <v>17</v>
      </c>
      <c r="C313" t="s">
        <v>875</v>
      </c>
      <c r="D313" t="s">
        <v>976</v>
      </c>
      <c r="F313" t="s">
        <v>21</v>
      </c>
      <c r="G313" t="s">
        <v>875</v>
      </c>
      <c r="L313" t="s">
        <v>61</v>
      </c>
      <c r="S313" t="s">
        <v>7</v>
      </c>
      <c r="W313" t="b">
        <v>1</v>
      </c>
      <c r="X313" t="s">
        <v>7</v>
      </c>
      <c r="Y313" t="s">
        <v>415</v>
      </c>
      <c r="AG313" t="s">
        <v>875</v>
      </c>
      <c r="AI313" t="s">
        <v>61</v>
      </c>
    </row>
    <row r="314" spans="2:35" x14ac:dyDescent="0.3">
      <c r="B314" t="s">
        <v>17</v>
      </c>
      <c r="C314" t="s">
        <v>692</v>
      </c>
      <c r="D314" t="s">
        <v>693</v>
      </c>
      <c r="F314" t="s">
        <v>22</v>
      </c>
      <c r="G314" t="s">
        <v>692</v>
      </c>
      <c r="L314" t="s">
        <v>61</v>
      </c>
      <c r="S314" t="s">
        <v>7</v>
      </c>
      <c r="W314" t="b">
        <v>1</v>
      </c>
      <c r="X314" t="s">
        <v>7</v>
      </c>
      <c r="Y314" t="s">
        <v>415</v>
      </c>
      <c r="AG314" t="s">
        <v>692</v>
      </c>
      <c r="AI314" t="s">
        <v>61</v>
      </c>
    </row>
    <row r="315" spans="2:35" x14ac:dyDescent="0.3">
      <c r="B315" t="s">
        <v>39</v>
      </c>
      <c r="C315" t="s">
        <v>876</v>
      </c>
      <c r="F315" t="s">
        <v>23</v>
      </c>
      <c r="K315" t="b">
        <v>0</v>
      </c>
      <c r="V315" t="s">
        <v>5</v>
      </c>
      <c r="Y315" t="s">
        <v>6</v>
      </c>
    </row>
    <row r="316" spans="2:35" x14ac:dyDescent="0.3">
      <c r="B316" t="s">
        <v>39</v>
      </c>
      <c r="C316" t="s">
        <v>877</v>
      </c>
      <c r="F316" t="s">
        <v>24</v>
      </c>
      <c r="K316" t="b">
        <v>0</v>
      </c>
      <c r="V316" t="s">
        <v>5</v>
      </c>
      <c r="Y316" t="s">
        <v>6</v>
      </c>
    </row>
    <row r="317" spans="2:35" x14ac:dyDescent="0.3">
      <c r="B317" t="s">
        <v>39</v>
      </c>
      <c r="C317" t="s">
        <v>878</v>
      </c>
      <c r="F317" t="s">
        <v>25</v>
      </c>
      <c r="K317" t="b">
        <v>0</v>
      </c>
      <c r="V317" t="s">
        <v>5</v>
      </c>
      <c r="Y317" t="s">
        <v>6</v>
      </c>
    </row>
    <row r="318" spans="2:35" x14ac:dyDescent="0.3">
      <c r="B318" t="s">
        <v>39</v>
      </c>
      <c r="C318" t="s">
        <v>879</v>
      </c>
      <c r="F318" t="s">
        <v>26</v>
      </c>
      <c r="K318" t="b">
        <v>0</v>
      </c>
      <c r="V318" t="s">
        <v>5</v>
      </c>
      <c r="Y318" t="s">
        <v>6</v>
      </c>
    </row>
    <row r="319" spans="2:35" x14ac:dyDescent="0.3">
      <c r="B319" t="s">
        <v>39</v>
      </c>
      <c r="C319" t="s">
        <v>880</v>
      </c>
      <c r="F319" t="s">
        <v>27</v>
      </c>
      <c r="K319" t="b">
        <v>0</v>
      </c>
      <c r="V319" t="s">
        <v>5</v>
      </c>
      <c r="Y319" t="s">
        <v>6</v>
      </c>
    </row>
    <row r="405" spans="15:27" x14ac:dyDescent="0.3">
      <c r="O405" s="14"/>
      <c r="P405" s="14"/>
      <c r="Y405" s="14"/>
      <c r="Z405" s="14"/>
      <c r="AA405" s="14"/>
    </row>
    <row r="406" spans="15:27" x14ac:dyDescent="0.3">
      <c r="O406" s="14"/>
      <c r="P406" s="14"/>
      <c r="Y406" s="14"/>
      <c r="Z406" s="14"/>
      <c r="AA406" s="14"/>
    </row>
    <row r="407" spans="15:27" x14ac:dyDescent="0.3">
      <c r="O407" s="14"/>
      <c r="P407" s="14"/>
      <c r="Y407" s="14"/>
      <c r="Z407" s="14"/>
      <c r="AA407" s="14"/>
    </row>
    <row r="408" spans="15:27" x14ac:dyDescent="0.3">
      <c r="O408" s="14"/>
      <c r="P408" s="14"/>
      <c r="Y408" s="14"/>
      <c r="Z408" s="14"/>
      <c r="AA408" s="14"/>
    </row>
    <row r="409" spans="15:27" x14ac:dyDescent="0.3">
      <c r="O409" s="14"/>
      <c r="P409" s="14"/>
      <c r="Y409" s="14"/>
      <c r="Z409" s="14"/>
      <c r="AA409" s="14"/>
    </row>
    <row r="410" spans="15:27" x14ac:dyDescent="0.3">
      <c r="O410" s="14"/>
      <c r="P410" s="14"/>
      <c r="Y410" s="14"/>
      <c r="Z410" s="14"/>
      <c r="AA410" s="14"/>
    </row>
    <row r="411" spans="15:27" x14ac:dyDescent="0.3">
      <c r="O411" s="14"/>
      <c r="P411" s="14"/>
      <c r="Y411" s="14"/>
      <c r="Z411" s="14"/>
      <c r="AA411" s="14"/>
    </row>
    <row r="412" spans="15:27" x14ac:dyDescent="0.3">
      <c r="O412" s="14"/>
      <c r="P412" s="14"/>
      <c r="Y412" s="14"/>
      <c r="Z412" s="14"/>
      <c r="AA412" s="14"/>
    </row>
    <row r="414" spans="15:27" x14ac:dyDescent="0.3">
      <c r="O414" s="14"/>
      <c r="P414" s="14"/>
      <c r="Y414" s="14"/>
      <c r="Z414" s="14"/>
      <c r="AA414" s="14"/>
    </row>
    <row r="415" spans="15:27" x14ac:dyDescent="0.3">
      <c r="O415" s="14"/>
      <c r="P415" s="14"/>
      <c r="Y415" s="14"/>
      <c r="Z415" s="14"/>
      <c r="AA415" s="1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ASP-301-1</vt:lpstr>
      <vt:lpstr>ASP-301-1_DP</vt:lpstr>
      <vt:lpstr>ASP0303_DP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Michael</cp:lastModifiedBy>
  <cp:lastPrinted>2026-08-23T13:43:02Z</cp:lastPrinted>
  <dcterms:created xsi:type="dcterms:W3CDTF">2015-01-29T09:46:38Z</dcterms:created>
  <dcterms:modified xsi:type="dcterms:W3CDTF">2026-08-23T13:43:27Z</dcterms:modified>
</cp:coreProperties>
</file>